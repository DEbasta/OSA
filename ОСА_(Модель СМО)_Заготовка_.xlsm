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.Manhattan\Documents\HT\Вилисов\Основы системного анализа\Основы сист.ан_(Вилисов)_\Основы сист.ан_(Вилисов)_\"/>
    </mc:Choice>
  </mc:AlternateContent>
  <xr:revisionPtr revIDLastSave="0" documentId="13_ncr:1_{2EE2B13D-7E14-426C-A346-20554BCD7A65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Описание" sheetId="1" r:id="rId1"/>
    <sheet name="Модель СМО" sheetId="3" r:id="rId2"/>
    <sheet name="Диаграмма распределения" sheetId="8" state="hidden" r:id="rId3"/>
    <sheet name="Анализ модели" sheetId="9" r:id="rId4"/>
    <sheet name="Module1" sheetId="4" state="veryHidden" r:id=""/>
  </sheets>
  <definedNames>
    <definedName name="ArriveRate">'Модель СМО'!$B$5</definedName>
    <definedName name="AvgNumInQ">'Модель СМО'!$B$16</definedName>
    <definedName name="AvgServerUtil">'Модель СМО'!$B$19</definedName>
    <definedName name="AvgTimeInQ">'Модель СМО'!$B$14</definedName>
    <definedName name="CloseTime">'Модель СМО'!$B$9</definedName>
    <definedName name="FinalTime">'Модель СМО'!$B$12</definedName>
    <definedName name="MaxAllowedInQ">'Модель СМО'!$B$8</definedName>
    <definedName name="MaxNumInQ">'Модель СМО'!$B$17</definedName>
    <definedName name="MaxTimeInQ">'Модель СМО'!$B$15</definedName>
    <definedName name="MeanServeTime">'Модель СМО'!$B$6</definedName>
    <definedName name="NumInQ">'Модель СМО'!$A$27:$A$34</definedName>
    <definedName name="NumLost">'Модель СМО'!$B$22</definedName>
    <definedName name="NumServed">'Модель СМО'!$B$21</definedName>
    <definedName name="NumServers">'Модель СМО'!$B$7</definedName>
    <definedName name="PctLost">'Модель СМО'!$B$23</definedName>
    <definedName name="PctOfTime">'Модель СМО'!$B$27:$B$34</definedName>
    <definedName name="solver_adj" localSheetId="3" hidden="1">'Анализ модели'!$K$296:$K$298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'Анализ модели'!$K$296</definedName>
    <definedName name="solver_lhs2" localSheetId="3" hidden="1">'Анализ модели'!$K$296</definedName>
    <definedName name="solver_lhs3" localSheetId="3" hidden="1">'Анализ модели'!$K$297</definedName>
    <definedName name="solver_lhs4" localSheetId="3" hidden="1">'Анализ модели'!$K$297</definedName>
    <definedName name="solver_lhs5" localSheetId="3" hidden="1">'Анализ модели'!$K$298</definedName>
    <definedName name="solver_lhs6" localSheetId="3" hidden="1">'Анализ модели'!$K$298</definedName>
    <definedName name="solver_lhs7" localSheetId="3" hidden="1">'Анализ модели'!$K$298</definedName>
    <definedName name="solver_lhs8" localSheetId="3" hidden="1">'Анализ модели'!$L$295</definedName>
    <definedName name="solver_lhs9" localSheetId="3" hidden="1">'Анализ модели'!$L$295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9</definedName>
    <definedName name="solver_nwt" localSheetId="3" hidden="1">1</definedName>
    <definedName name="solver_opt" localSheetId="3" hidden="1">'Анализ модели'!$L$295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el5" localSheetId="3" hidden="1">1</definedName>
    <definedName name="solver_rel6" localSheetId="3" hidden="1">4</definedName>
    <definedName name="solver_rel7" localSheetId="3" hidden="1">3</definedName>
    <definedName name="solver_rel8" localSheetId="3" hidden="1">1</definedName>
    <definedName name="solver_rel9" localSheetId="3" hidden="1">3</definedName>
    <definedName name="solver_rhs1" localSheetId="3" hidden="1">1</definedName>
    <definedName name="solver_rhs2" localSheetId="3" hidden="1">7</definedName>
    <definedName name="solver_rhs3" localSheetId="3" hidden="1">10</definedName>
    <definedName name="solver_rhs4" localSheetId="3" hidden="1">1</definedName>
    <definedName name="solver_rhs5" localSheetId="3" hidden="1">12</definedName>
    <definedName name="solver_rhs6" localSheetId="3" hidden="1">"целое"</definedName>
    <definedName name="solver_rhs7" localSheetId="3" hidden="1">1</definedName>
    <definedName name="solver_rhs8" localSheetId="3" hidden="1">100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imeUnit">'Модель СМО'!$B$4</definedName>
  </definedNames>
  <calcPr calcId="191029"/>
</workbook>
</file>

<file path=xl/calcChain.xml><?xml version="1.0" encoding="utf-8"?>
<calcChain xmlns="http://schemas.openxmlformats.org/spreadsheetml/2006/main">
  <c r="B23" i="3" l="1"/>
  <c r="L295" i="9"/>
  <c r="C113" i="9" l="1"/>
  <c r="C117" i="9"/>
  <c r="R210" i="9" l="1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R209" i="9"/>
  <c r="Q209" i="9"/>
  <c r="P209" i="9"/>
  <c r="N209" i="9"/>
  <c r="M210" i="9"/>
  <c r="M209" i="9"/>
  <c r="J120" i="9" l="1"/>
  <c r="I119" i="9"/>
  <c r="I120" i="9"/>
  <c r="H120" i="9"/>
  <c r="H119" i="9"/>
  <c r="H118" i="9"/>
  <c r="G120" i="9"/>
  <c r="G119" i="9"/>
  <c r="G118" i="9"/>
  <c r="G117" i="9"/>
  <c r="F120" i="9"/>
  <c r="F119" i="9"/>
  <c r="F118" i="9"/>
  <c r="F117" i="9"/>
  <c r="F116" i="9"/>
  <c r="E120" i="9"/>
  <c r="E119" i="9"/>
  <c r="E118" i="9"/>
  <c r="E117" i="9"/>
  <c r="E116" i="9"/>
  <c r="E115" i="9"/>
  <c r="D120" i="9"/>
  <c r="D119" i="9"/>
  <c r="D118" i="9"/>
  <c r="D117" i="9"/>
  <c r="D116" i="9"/>
  <c r="D115" i="9"/>
  <c r="D114" i="9"/>
  <c r="C120" i="9"/>
  <c r="C119" i="9"/>
  <c r="C118" i="9"/>
  <c r="C116" i="9"/>
  <c r="C115" i="9"/>
  <c r="C114" i="9"/>
  <c r="C5" i="9"/>
  <c r="F5" i="9"/>
  <c r="D5" i="9"/>
  <c r="E5" i="9"/>
  <c r="G5" i="9"/>
  <c r="H5" i="9"/>
  <c r="I5" i="9"/>
  <c r="J5" i="9"/>
  <c r="K5" i="9"/>
  <c r="D4" i="9"/>
  <c r="E4" i="9"/>
  <c r="F4" i="9"/>
  <c r="G4" i="9"/>
  <c r="H4" i="9"/>
  <c r="I4" i="9"/>
  <c r="J4" i="9"/>
  <c r="K4" i="9"/>
  <c r="C4" i="9"/>
  <c r="E9" i="3"/>
</calcChain>
</file>

<file path=xl/sharedStrings.xml><?xml version="1.0" encoding="utf-8"?>
<sst xmlns="http://schemas.openxmlformats.org/spreadsheetml/2006/main" count="242" uniqueCount="124">
  <si>
    <t>Моделирование системы массового обслуживания</t>
  </si>
  <si>
    <t>Система массового обслуживания населения</t>
  </si>
  <si>
    <t>Временные единицы измерения</t>
  </si>
  <si>
    <t>минута</t>
  </si>
  <si>
    <t>Максимальная длина очереди</t>
  </si>
  <si>
    <t>% времени</t>
  </si>
  <si>
    <t xml:space="preserve">   %</t>
  </si>
  <si>
    <t>Показатель перегруженности системы</t>
  </si>
  <si>
    <t xml:space="preserve">   штук</t>
  </si>
  <si>
    <t xml:space="preserve">   мест</t>
  </si>
  <si>
    <t>Число циклов моделирования</t>
  </si>
  <si>
    <r>
      <rPr>
        <b/>
        <sz val="12"/>
        <color rgb="FFFF0000"/>
        <rFont val="Arial"/>
        <family val="2"/>
        <charset val="204"/>
      </rPr>
      <t xml:space="preserve">ВХОДНЫЕ </t>
    </r>
    <r>
      <rPr>
        <b/>
        <sz val="12"/>
        <rFont val="Arial"/>
        <family val="2"/>
        <charset val="204"/>
      </rPr>
      <t xml:space="preserve">Параметры </t>
    </r>
    <r>
      <rPr>
        <sz val="12"/>
        <rFont val="Arial"/>
        <family val="2"/>
        <charset val="204"/>
      </rPr>
      <t xml:space="preserve">( </t>
    </r>
    <r>
      <rPr>
        <b/>
        <sz val="12"/>
        <color rgb="FF0070C0"/>
        <rFont val="Arial"/>
        <family val="2"/>
        <charset val="204"/>
      </rPr>
      <t>x</t>
    </r>
    <r>
      <rPr>
        <sz val="12"/>
        <rFont val="Arial"/>
        <family val="2"/>
        <charset val="204"/>
      </rPr>
      <t xml:space="preserve"> )</t>
    </r>
  </si>
  <si>
    <r>
      <rPr>
        <b/>
        <sz val="12"/>
        <color rgb="FFFF0000"/>
        <rFont val="Arial"/>
        <family val="2"/>
        <charset val="204"/>
      </rPr>
      <t xml:space="preserve">ВЫХОДНЫЕ </t>
    </r>
    <r>
      <rPr>
        <b/>
        <sz val="12"/>
        <rFont val="Arial"/>
        <family val="2"/>
        <charset val="204"/>
      </rPr>
      <t xml:space="preserve">Показатели </t>
    </r>
    <r>
      <rPr>
        <sz val="12"/>
        <rFont val="Arial"/>
        <family val="2"/>
        <charset val="204"/>
      </rPr>
      <t xml:space="preserve">( </t>
    </r>
    <r>
      <rPr>
        <b/>
        <sz val="12"/>
        <color rgb="FF0070C0"/>
        <rFont val="Arial"/>
        <family val="2"/>
        <charset val="204"/>
      </rPr>
      <t>y</t>
    </r>
    <r>
      <rPr>
        <sz val="12"/>
        <rFont val="Arial"/>
        <family val="2"/>
        <charset val="204"/>
      </rPr>
      <t xml:space="preserve"> )</t>
    </r>
  </si>
  <si>
    <t>Выходные показатели (y)</t>
  </si>
  <si>
    <t>Среднеее</t>
  </si>
  <si>
    <t>СКО</t>
  </si>
  <si>
    <t>Временной интервал моделирования</t>
  </si>
  <si>
    <t>мин</t>
  </si>
  <si>
    <t>Анализ результатов моделирования</t>
  </si>
  <si>
    <t>%</t>
  </si>
  <si>
    <t>Ед.изм.</t>
  </si>
  <si>
    <t xml:space="preserve">Вариант: </t>
  </si>
  <si>
    <r>
      <t>Скорость появления заявок</t>
    </r>
    <r>
      <rPr>
        <b/>
        <sz val="12"/>
        <color rgb="FFC00000"/>
        <rFont val="Arial"/>
        <family val="2"/>
        <charset val="204"/>
      </rPr>
      <t xml:space="preserve"> [1:7]</t>
    </r>
  </si>
  <si>
    <r>
      <t xml:space="preserve">Среднее время обслуживания заявки </t>
    </r>
    <r>
      <rPr>
        <b/>
        <sz val="12"/>
        <color rgb="FFC00000"/>
        <rFont val="Arial"/>
        <family val="2"/>
        <charset val="204"/>
      </rPr>
      <t>[1:10]</t>
    </r>
  </si>
  <si>
    <r>
      <t>Количество приборов обслуживания</t>
    </r>
    <r>
      <rPr>
        <b/>
        <sz val="12"/>
        <color rgb="FFC00000"/>
        <rFont val="Arial"/>
        <family val="2"/>
        <charset val="204"/>
      </rPr>
      <t xml:space="preserve"> [1:12]</t>
    </r>
  </si>
  <si>
    <r>
      <rPr>
        <b/>
        <sz val="12"/>
        <rFont val="Arial"/>
        <family val="2"/>
        <charset val="204"/>
      </rPr>
      <t>1.</t>
    </r>
    <r>
      <rPr>
        <sz val="12"/>
        <rFont val="Arial"/>
        <family val="2"/>
        <charset val="204"/>
      </rPr>
      <t xml:space="preserve"> Время выхода последней заявки из системы</t>
    </r>
  </si>
  <si>
    <r>
      <rPr>
        <b/>
        <sz val="12"/>
        <rFont val="Arial"/>
        <family val="2"/>
        <charset val="204"/>
      </rPr>
      <t>2.</t>
    </r>
    <r>
      <rPr>
        <sz val="12"/>
        <rFont val="Arial"/>
        <family val="2"/>
        <charset val="204"/>
      </rPr>
      <t xml:space="preserve"> Среднее время ожидания заявки в очереди</t>
    </r>
  </si>
  <si>
    <r>
      <rPr>
        <b/>
        <sz val="12"/>
        <rFont val="Arial"/>
        <family val="2"/>
        <charset val="204"/>
      </rPr>
      <t>3.</t>
    </r>
    <r>
      <rPr>
        <sz val="12"/>
        <rFont val="Arial"/>
        <family val="2"/>
        <charset val="204"/>
      </rPr>
      <t xml:space="preserve"> Максимальное время ожидания заявки в очереди</t>
    </r>
  </si>
  <si>
    <r>
      <rPr>
        <b/>
        <sz val="12"/>
        <rFont val="Arial"/>
        <family val="2"/>
        <charset val="204"/>
      </rPr>
      <t xml:space="preserve">4. </t>
    </r>
    <r>
      <rPr>
        <sz val="12"/>
        <rFont val="Arial"/>
        <family val="2"/>
        <charset val="204"/>
      </rPr>
      <t>Среднее количество заявок в очереди</t>
    </r>
  </si>
  <si>
    <r>
      <rPr>
        <b/>
        <sz val="12"/>
        <rFont val="Arial"/>
        <family val="2"/>
        <charset val="204"/>
      </rPr>
      <t xml:space="preserve">5. </t>
    </r>
    <r>
      <rPr>
        <sz val="12"/>
        <rFont val="Arial"/>
        <family val="2"/>
        <charset val="204"/>
      </rPr>
      <t>Максимальное количество заявок в очереди</t>
    </r>
  </si>
  <si>
    <t xml:space="preserve">  заявок</t>
  </si>
  <si>
    <t xml:space="preserve">  минут</t>
  </si>
  <si>
    <r>
      <rPr>
        <b/>
        <sz val="12"/>
        <rFont val="Arial"/>
        <family val="2"/>
        <charset val="204"/>
      </rPr>
      <t>6.</t>
    </r>
    <r>
      <rPr>
        <sz val="12"/>
        <rFont val="Arial"/>
        <family val="2"/>
        <charset val="204"/>
      </rPr>
      <t xml:space="preserve"> Процент занятости каждого прибора обслуживания</t>
    </r>
  </si>
  <si>
    <r>
      <rPr>
        <b/>
        <sz val="12"/>
        <rFont val="Arial"/>
        <family val="2"/>
        <charset val="204"/>
      </rPr>
      <t xml:space="preserve">7. </t>
    </r>
    <r>
      <rPr>
        <sz val="12"/>
        <rFont val="Arial"/>
        <family val="2"/>
        <charset val="204"/>
      </rPr>
      <t>Количество обслуженных заявок</t>
    </r>
  </si>
  <si>
    <r>
      <rPr>
        <b/>
        <sz val="12"/>
        <rFont val="Arial"/>
        <family val="2"/>
        <charset val="204"/>
      </rPr>
      <t xml:space="preserve">8. </t>
    </r>
    <r>
      <rPr>
        <sz val="12"/>
        <rFont val="Arial"/>
        <family val="2"/>
        <charset val="204"/>
      </rPr>
      <t>Количество необслуженных заявок</t>
    </r>
  </si>
  <si>
    <r>
      <rPr>
        <b/>
        <sz val="12"/>
        <rFont val="Arial"/>
        <family val="2"/>
        <charset val="204"/>
      </rPr>
      <t xml:space="preserve">9. </t>
    </r>
    <r>
      <rPr>
        <sz val="12"/>
        <rFont val="Arial"/>
        <family val="2"/>
        <charset val="204"/>
      </rPr>
      <t>Процент необслуженных заявок</t>
    </r>
  </si>
  <si>
    <t>Распределение вероятностей количества заявок в очереди</t>
  </si>
  <si>
    <t>Количество заявок в очереди</t>
  </si>
  <si>
    <t xml:space="preserve">  заявок в минуту</t>
  </si>
  <si>
    <t>Интенсивность потока заявок</t>
  </si>
  <si>
    <r>
      <rPr>
        <b/>
        <sz val="10"/>
        <rFont val="Arial"/>
        <family val="2"/>
        <charset val="204"/>
      </rPr>
      <t>1.</t>
    </r>
    <r>
      <rPr>
        <sz val="10"/>
        <rFont val="Arial"/>
        <family val="2"/>
        <charset val="204"/>
      </rPr>
      <t xml:space="preserve"> Время выхода последней заявки</t>
    </r>
  </si>
  <si>
    <r>
      <rPr>
        <b/>
        <sz val="10"/>
        <rFont val="Arial"/>
        <family val="2"/>
        <charset val="204"/>
      </rPr>
      <t>2.</t>
    </r>
    <r>
      <rPr>
        <sz val="10"/>
        <rFont val="Arial"/>
        <family val="2"/>
        <charset val="204"/>
      </rPr>
      <t xml:space="preserve"> Среднее время ожидания заявки в очереди</t>
    </r>
  </si>
  <si>
    <r>
      <rPr>
        <b/>
        <sz val="10"/>
        <rFont val="Arial"/>
        <family val="2"/>
        <charset val="204"/>
      </rPr>
      <t>3.</t>
    </r>
    <r>
      <rPr>
        <sz val="10"/>
        <rFont val="Arial"/>
        <family val="2"/>
        <charset val="204"/>
      </rPr>
      <t xml:space="preserve"> Максимальное время ожидания заявки в очереди</t>
    </r>
  </si>
  <si>
    <r>
      <rPr>
        <b/>
        <sz val="10"/>
        <rFont val="Arial"/>
        <family val="2"/>
        <charset val="204"/>
      </rPr>
      <t>4.</t>
    </r>
    <r>
      <rPr>
        <sz val="10"/>
        <rFont val="Arial"/>
        <family val="2"/>
        <charset val="204"/>
      </rPr>
      <t xml:space="preserve"> Среднее количество заявок в очереди</t>
    </r>
  </si>
  <si>
    <r>
      <rPr>
        <b/>
        <sz val="10"/>
        <rFont val="Arial"/>
        <family val="2"/>
        <charset val="204"/>
      </rPr>
      <t>5.</t>
    </r>
    <r>
      <rPr>
        <sz val="10"/>
        <rFont val="Arial"/>
        <family val="2"/>
        <charset val="204"/>
      </rPr>
      <t xml:space="preserve"> Максимальное количество заявок в очереди</t>
    </r>
  </si>
  <si>
    <r>
      <rPr>
        <b/>
        <sz val="10"/>
        <rFont val="Arial"/>
        <family val="2"/>
        <charset val="204"/>
      </rPr>
      <t>6.</t>
    </r>
    <r>
      <rPr>
        <sz val="10"/>
        <rFont val="Arial"/>
        <family val="2"/>
        <charset val="204"/>
      </rPr>
      <t xml:space="preserve"> Время занятости каждого прибора обслуживания</t>
    </r>
  </si>
  <si>
    <r>
      <rPr>
        <b/>
        <sz val="10"/>
        <rFont val="Arial"/>
        <family val="2"/>
        <charset val="204"/>
      </rPr>
      <t>7.</t>
    </r>
    <r>
      <rPr>
        <sz val="10"/>
        <rFont val="Arial"/>
        <family val="2"/>
        <charset val="204"/>
      </rPr>
      <t xml:space="preserve"> Количество обслуженных заявок</t>
    </r>
  </si>
  <si>
    <r>
      <rPr>
        <b/>
        <sz val="10"/>
        <rFont val="Arial"/>
        <family val="2"/>
        <charset val="204"/>
      </rPr>
      <t>8.</t>
    </r>
    <r>
      <rPr>
        <sz val="10"/>
        <rFont val="Arial"/>
        <family val="2"/>
        <charset val="204"/>
      </rPr>
      <t xml:space="preserve"> Количество необслуженных заявок</t>
    </r>
  </si>
  <si>
    <r>
      <rPr>
        <b/>
        <sz val="10"/>
        <rFont val="Arial"/>
        <family val="2"/>
        <charset val="204"/>
      </rPr>
      <t>9.</t>
    </r>
    <r>
      <rPr>
        <sz val="10"/>
        <rFont val="Arial"/>
        <family val="2"/>
        <charset val="204"/>
      </rPr>
      <t xml:space="preserve"> Процент необслуженных заявок</t>
    </r>
  </si>
  <si>
    <t>заяв</t>
  </si>
  <si>
    <t>Матрица коэфицентов корреляции</t>
  </si>
  <si>
    <t>Матрица коэффицентов корреляции для уровня значимости 0.9</t>
  </si>
  <si>
    <t>Матрица коэффицентов корреляции для уровня значимости 0.8</t>
  </si>
  <si>
    <t>Матрица коэффицентов корреляции для уровня значимости 0.7</t>
  </si>
  <si>
    <t>Отбор двух показателей</t>
  </si>
  <si>
    <t>Среднее время ожидания заявки в очереди</t>
  </si>
  <si>
    <t>Процент необслуженных заявок</t>
  </si>
  <si>
    <t>Min</t>
  </si>
  <si>
    <t>Max</t>
  </si>
  <si>
    <t>Количество обслуженных заявок</t>
  </si>
  <si>
    <t>Количество необслуженных заявок</t>
  </si>
  <si>
    <t>Регрессионный анализ</t>
  </si>
  <si>
    <t>x1</t>
  </si>
  <si>
    <t>x2</t>
  </si>
  <si>
    <t>x3</t>
  </si>
  <si>
    <t>y8</t>
  </si>
  <si>
    <t>y9</t>
  </si>
  <si>
    <t>Линейная модель</t>
  </si>
  <si>
    <t>x1^2</t>
  </si>
  <si>
    <t>x1x2</t>
  </si>
  <si>
    <t>x1x3</t>
  </si>
  <si>
    <t>x2^2</t>
  </si>
  <si>
    <t>x2x3</t>
  </si>
  <si>
    <t>x3^2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</si>
  <si>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</si>
  <si>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</si>
  <si>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</si>
  <si>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</si>
  <si>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</si>
  <si>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</si>
  <si>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</si>
  <si>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</si>
  <si>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</si>
  <si>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</si>
  <si>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</si>
  <si>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</si>
  <si>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</si>
  <si>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</si>
  <si>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</si>
  <si>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</si>
  <si>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</si>
  <si>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</si>
  <si>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</si>
  <si>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</si>
  <si>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</si>
  <si>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</si>
  <si>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</si>
  <si>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</si>
  <si>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</si>
  <si>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Переменная X 2</t>
  </si>
  <si>
    <t>Переменная X 3</t>
  </si>
  <si>
    <t>Переменная X 4</t>
  </si>
  <si>
    <t>Переменная X 5</t>
  </si>
  <si>
    <t>Переменная X 6</t>
  </si>
  <si>
    <t>Переменная X 7</t>
  </si>
  <si>
    <t>Переменная X 8</t>
  </si>
  <si>
    <t>Переменная X 9</t>
  </si>
  <si>
    <t>y8 Линейная модель</t>
  </si>
  <si>
    <t>y8 Квадратичная модель</t>
  </si>
  <si>
    <t>y9 Линейная модель</t>
  </si>
  <si>
    <t>y9 Квадратичная модель</t>
  </si>
  <si>
    <t>a0</t>
  </si>
  <si>
    <t>a1</t>
  </si>
  <si>
    <t>a2</t>
  </si>
  <si>
    <t>a3</t>
  </si>
  <si>
    <t>a11</t>
  </si>
  <si>
    <t>a12</t>
  </si>
  <si>
    <t>a13</t>
  </si>
  <si>
    <t>a23</t>
  </si>
  <si>
    <t>a21</t>
  </si>
  <si>
    <t>a22</t>
  </si>
  <si>
    <t>x1_opt</t>
  </si>
  <si>
    <t>x2_opt</t>
  </si>
  <si>
    <t>x3_opt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</si>
</sst>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2"/>
      <color indexed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12"/>
      <color indexed="8"/>
      <name val="Arial"/>
      <family val="2"/>
      <charset val="204"/>
    </font>
    <font>
      <b/>
      <sz val="12"/>
      <color indexed="10"/>
      <name val="Arial"/>
      <family val="2"/>
      <charset val="204"/>
    </font>
    <font>
      <b/>
      <sz val="12"/>
      <color rgb="FF0070C0"/>
      <name val="Arial"/>
      <family val="2"/>
      <charset val="204"/>
    </font>
    <font>
      <sz val="10"/>
      <color rgb="FF000000"/>
      <name val="Arial"/>
      <family val="2"/>
      <charset val="204"/>
    </font>
    <font>
      <sz val="12"/>
      <color rgb="FF000000"/>
      <name val="Arial"/>
      <family val="2"/>
      <charset val="204"/>
    </font>
    <font>
      <b/>
      <sz val="14"/>
      <color rgb="FF800000"/>
      <name val="Arial"/>
      <family val="2"/>
      <charset val="204"/>
    </font>
    <font>
      <sz val="14"/>
      <name val="Arial"/>
      <family val="2"/>
      <charset val="204"/>
    </font>
    <font>
      <b/>
      <sz val="12"/>
      <color rgb="FFC00000"/>
      <name val="Arial"/>
      <family val="2"/>
      <charset val="204"/>
    </font>
    <font>
      <b/>
      <sz val="16"/>
      <color rgb="FF3333CC"/>
      <name val="Arial"/>
      <family val="2"/>
      <charset val="204"/>
    </font>
    <font>
      <b/>
      <sz val="12"/>
      <color rgb="FF00B05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0"/>
      <color rgb="FF3333CC"/>
      <name val="Arial"/>
      <family val="2"/>
      <charset val="204"/>
    </font>
    <font>
      <b/>
      <sz val="10"/>
      <color rgb="FF800000"/>
      <name val="Arial"/>
      <family val="2"/>
      <charset val="204"/>
    </font>
    <font>
      <b/>
      <sz val="12"/>
      <color theme="0"/>
      <name val="Arial"/>
      <family val="2"/>
      <charset val="204"/>
    </font>
    <font>
      <sz val="10"/>
      <color rgb="FF3333CC"/>
      <name val="Arial"/>
      <family val="2"/>
      <charset val="204"/>
    </font>
    <font>
      <sz val="10"/>
      <color rgb="FF800000"/>
      <name val="Arial"/>
      <family val="2"/>
      <charset val="204"/>
    </font>
    <font>
      <i/>
      <sz val="10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1" fillId="2" borderId="0" xfId="0" applyFont="1" applyFill="1"/>
    <xf numFmtId="0" fontId="4" fillId="2" borderId="0" xfId="0" applyFont="1" applyFill="1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right" wrapText="1"/>
      <protection locked="0"/>
    </xf>
    <xf numFmtId="2" fontId="6" fillId="0" borderId="0" xfId="0" applyNumberFormat="1" applyFont="1" applyProtection="1">
      <protection locked="0"/>
    </xf>
    <xf numFmtId="1" fontId="6" fillId="0" borderId="0" xfId="0" applyNumberFormat="1" applyFont="1" applyProtection="1">
      <protection locked="0"/>
    </xf>
    <xf numFmtId="164" fontId="6" fillId="0" borderId="0" xfId="1" applyNumberFormat="1" applyFont="1" applyFill="1" applyProtection="1">
      <protection locked="0"/>
    </xf>
    <xf numFmtId="10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right"/>
      <protection locked="0"/>
    </xf>
    <xf numFmtId="10" fontId="6" fillId="0" borderId="0" xfId="1" applyNumberFormat="1" applyFont="1" applyFill="1" applyProtection="1">
      <protection locked="0"/>
    </xf>
    <xf numFmtId="4" fontId="6" fillId="3" borderId="0" xfId="0" applyNumberFormat="1" applyFont="1" applyFill="1" applyProtection="1">
      <protection locked="0"/>
    </xf>
    <xf numFmtId="2" fontId="6" fillId="3" borderId="0" xfId="0" applyNumberFormat="1" applyFont="1" applyFill="1" applyProtection="1">
      <protection locked="0"/>
    </xf>
    <xf numFmtId="1" fontId="6" fillId="3" borderId="0" xfId="0" applyNumberFormat="1" applyFont="1" applyFill="1" applyProtection="1">
      <protection locked="0"/>
    </xf>
    <xf numFmtId="164" fontId="6" fillId="3" borderId="0" xfId="1" applyNumberFormat="1" applyFont="1" applyFill="1" applyProtection="1">
      <protection locked="0"/>
    </xf>
    <xf numFmtId="0" fontId="6" fillId="3" borderId="0" xfId="0" applyFont="1" applyFill="1" applyAlignment="1" applyProtection="1">
      <alignment horizontal="right" wrapText="1"/>
      <protection locked="0"/>
    </xf>
    <xf numFmtId="164" fontId="6" fillId="3" borderId="0" xfId="1" applyNumberFormat="1" applyFont="1" applyFill="1" applyAlignment="1" applyProtection="1">
      <alignment horizontal="right" wrapText="1"/>
      <protection locked="0"/>
    </xf>
    <xf numFmtId="2" fontId="8" fillId="3" borderId="0" xfId="0" applyNumberFormat="1" applyFont="1" applyFill="1" applyAlignment="1" applyProtection="1">
      <alignment horizontal="right" wrapText="1"/>
      <protection locked="0"/>
    </xf>
    <xf numFmtId="0" fontId="7" fillId="4" borderId="0" xfId="0" applyFont="1" applyFill="1" applyProtection="1">
      <protection locked="0"/>
    </xf>
    <xf numFmtId="0" fontId="7" fillId="3" borderId="0" xfId="0" applyFont="1" applyFill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left"/>
      <protection locked="0"/>
    </xf>
    <xf numFmtId="0" fontId="15" fillId="3" borderId="0" xfId="0" applyFont="1" applyFill="1"/>
    <xf numFmtId="0" fontId="17" fillId="0" borderId="0" xfId="0" applyFont="1" applyAlignment="1" applyProtection="1">
      <alignment horizontal="right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" fillId="3" borderId="0" xfId="0" applyFont="1" applyFill="1"/>
    <xf numFmtId="1" fontId="0" fillId="4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textRotation="90" wrapText="1"/>
    </xf>
    <xf numFmtId="1" fontId="0" fillId="6" borderId="2" xfId="0" applyNumberFormat="1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2" fillId="5" borderId="1" xfId="0" applyFont="1" applyFill="1" applyBorder="1" applyAlignment="1">
      <alignment textRotation="90" wrapText="1"/>
    </xf>
    <xf numFmtId="0" fontId="7" fillId="3" borderId="0" xfId="0" applyFont="1" applyFill="1" applyAlignment="1" applyProtection="1">
      <alignment horizontal="right"/>
      <protection locked="0"/>
    </xf>
    <xf numFmtId="0" fontId="15" fillId="3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21" fillId="7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2" fontId="0" fillId="0" borderId="0" xfId="0" applyNumberFormat="1"/>
    <xf numFmtId="10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2" fontId="21" fillId="8" borderId="1" xfId="0" applyNumberFormat="1" applyFont="1" applyFill="1" applyBorder="1" applyProtection="1">
      <protection locked="0"/>
    </xf>
    <xf numFmtId="0" fontId="6" fillId="0" borderId="1" xfId="0" applyFont="1" applyBorder="1" applyAlignment="1">
      <alignment horizontal="right"/>
    </xf>
    <xf numFmtId="1" fontId="6" fillId="0" borderId="1" xfId="0" applyNumberFormat="1" applyFont="1" applyBorder="1" applyAlignment="1">
      <alignment horizontal="right"/>
    </xf>
    <xf numFmtId="0" fontId="6" fillId="0" borderId="1" xfId="0" applyFont="1" applyBorder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2" fillId="0" borderId="5" xfId="0" applyFont="1" applyBorder="1"/>
    <xf numFmtId="0" fontId="6" fillId="0" borderId="1" xfId="0" applyFont="1" applyBorder="1" applyProtection="1"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/>
      <protection locked="0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0" fillId="0" borderId="7" xfId="0" applyBorder="1"/>
    <xf numFmtId="0" fontId="24" fillId="0" borderId="8" xfId="0" applyFont="1" applyBorder="1" applyAlignment="1">
      <alignment horizontal="center"/>
    </xf>
    <xf numFmtId="0" fontId="24" fillId="0" borderId="8" xfId="0" applyFont="1" applyBorder="1" applyAlignment="1">
      <alignment horizontal="centerContinuous"/>
    </xf>
    <xf numFmtId="0" fontId="2" fillId="3" borderId="0" xfId="0" applyFont="1" applyFill="1"/>
    <xf numFmtId="0" fontId="0" fillId="3" borderId="0" xfId="0" applyFill="1"/>
    <xf numFmtId="0" fontId="5" fillId="2" borderId="0" xfId="0" applyFont="1" applyFill="1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Распределение количества заявок в очереди</a:t>
            </a:r>
          </a:p>
        </c:rich>
      </c:tx>
      <c:layout>
        <c:manualLayout>
          <c:xMode val="edge"/>
          <c:yMode val="edge"/>
          <c:x val="0.24089403973509935"/>
          <c:y val="2.035278154681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682119205298013E-2"/>
          <c:y val="0.13704206241519676"/>
          <c:w val="0.89321192052980147"/>
          <c:h val="0.7666214382632293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'Модель СМО'!$A$27:$A$47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'Модель СМО'!$B$27:$B$47</c:f>
              <c:numCache>
                <c:formatCode>0.00%</c:formatCode>
                <c:ptCount val="21"/>
                <c:pt idx="0">
                  <c:v>0.9604569673538208</c:v>
                </c:pt>
                <c:pt idx="1">
                  <c:v>1.2800796888768673E-2</c:v>
                </c:pt>
                <c:pt idx="2">
                  <c:v>9.4379018992185593E-3</c:v>
                </c:pt>
                <c:pt idx="3">
                  <c:v>7.0608840323984623E-3</c:v>
                </c:pt>
                <c:pt idx="4">
                  <c:v>5.3409012034535408E-3</c:v>
                </c:pt>
                <c:pt idx="5">
                  <c:v>3.4307767637073994E-3</c:v>
                </c:pt>
                <c:pt idx="6">
                  <c:v>1.2002940056845546E-3</c:v>
                </c:pt>
                <c:pt idx="7">
                  <c:v>2.7143178158439696E-4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1-49F8-A851-9F1DAF37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46349152"/>
        <c:axId val="1403318176"/>
      </c:barChart>
      <c:catAx>
        <c:axId val="164634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Количество заявок в очереди</a:t>
                </a:r>
              </a:p>
            </c:rich>
          </c:tx>
          <c:layout>
            <c:manualLayout>
              <c:xMode val="edge"/>
              <c:yMode val="edge"/>
              <c:x val="0.38741721854304639"/>
              <c:y val="0.930800542740841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40331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03318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Процент времени</a:t>
                </a:r>
              </a:p>
            </c:rich>
          </c:tx>
          <c:layout>
            <c:manualLayout>
              <c:xMode val="edge"/>
              <c:yMode val="edge"/>
              <c:x val="9.9337748344370865E-3"/>
              <c:y val="0.3744911804613297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6463491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Коэффиценты</a:t>
            </a:r>
            <a:r>
              <a:rPr lang="ru-RU" baseline="0"/>
              <a:t> корреляции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9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'Анализ модели'!$C$120:$J$120</c:f>
              <c:numCache>
                <c:formatCode>0.00</c:formatCode>
                <c:ptCount val="8"/>
                <c:pt idx="0">
                  <c:v>8.4073375708618239E-2</c:v>
                </c:pt>
                <c:pt idx="1">
                  <c:v>0.87281869093093556</c:v>
                </c:pt>
                <c:pt idx="2">
                  <c:v>0.21185812576295909</c:v>
                </c:pt>
                <c:pt idx="3">
                  <c:v>0.47199865384139761</c:v>
                </c:pt>
                <c:pt idx="4">
                  <c:v>0</c:v>
                </c:pt>
                <c:pt idx="5">
                  <c:v>2.5060599797273157E-2</c:v>
                </c:pt>
                <c:pt idx="6">
                  <c:v>-6.2983362816626254E-2</c:v>
                </c:pt>
                <c:pt idx="7">
                  <c:v>0.97361192544235753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F-47D0-82BE-D948E8C3AB82}"/>
            </c:ext>
          </c:extLst>
        </c:ser>
        <c:ser>
          <c:idx val="1"/>
          <c:order val="1"/>
          <c:tx>
            <c:v>8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'Анализ модели'!$C$119:$I$119</c:f>
              <c:numCache>
                <c:formatCode>0.00</c:formatCode>
                <c:ptCount val="7"/>
                <c:pt idx="0">
                  <c:v>0.10069993527390635</c:v>
                </c:pt>
                <c:pt idx="1">
                  <c:v>0.76626904703422816</c:v>
                </c:pt>
                <c:pt idx="2">
                  <c:v>0.1372430177582597</c:v>
                </c:pt>
                <c:pt idx="3">
                  <c:v>0.45916566442924062</c:v>
                </c:pt>
                <c:pt idx="4">
                  <c:v>0</c:v>
                </c:pt>
                <c:pt idx="5">
                  <c:v>1.1148497376539893E-2</c:v>
                </c:pt>
                <c:pt idx="6">
                  <c:v>-0.82268625847851651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2F-47D0-82BE-D948E8C3AB82}"/>
            </c:ext>
          </c:extLst>
        </c:ser>
        <c:ser>
          <c:idx val="2"/>
          <c:order val="2"/>
          <c:tx>
            <c:v>7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'Анализ модели'!$C$118:$H$118</c:f>
              <c:numCache>
                <c:formatCode>0.00</c:formatCode>
                <c:ptCount val="6"/>
                <c:pt idx="0">
                  <c:v>-1.211327727054675E-2</c:v>
                </c:pt>
                <c:pt idx="1">
                  <c:v>-0.93272789049612104</c:v>
                </c:pt>
                <c:pt idx="2">
                  <c:v>-0.34034475318386975</c:v>
                </c:pt>
                <c:pt idx="3">
                  <c:v>-0.39976418958214843</c:v>
                </c:pt>
                <c:pt idx="4">
                  <c:v>0</c:v>
                </c:pt>
                <c:pt idx="5">
                  <c:v>-6.2983362816626254E-2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2F-47D0-82BE-D948E8C3AB82}"/>
            </c:ext>
          </c:extLst>
        </c:ser>
        <c:ser>
          <c:idx val="3"/>
          <c:order val="3"/>
          <c:tx>
            <c:v>6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'Анализ модели'!$C$117:$G$117</c:f>
              <c:numCache>
                <c:formatCode>0.00</c:formatCode>
                <c:ptCount val="5"/>
                <c:pt idx="0">
                  <c:v>-0.91066654197345198</c:v>
                </c:pt>
                <c:pt idx="1">
                  <c:v>7.1126632561055669E-2</c:v>
                </c:pt>
                <c:pt idx="2">
                  <c:v>-7.8132677761805405E-3</c:v>
                </c:pt>
                <c:pt idx="3">
                  <c:v>0.66098288845736708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2F-47D0-82BE-D948E8C3AB82}"/>
            </c:ext>
          </c:extLst>
        </c:ser>
        <c:ser>
          <c:idx val="4"/>
          <c:order val="4"/>
          <c:tx>
            <c:v>5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'Анализ модели'!$C$116:$F$116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2F-47D0-82BE-D948E8C3AB82}"/>
            </c:ext>
          </c:extLst>
        </c:ser>
        <c:ser>
          <c:idx val="5"/>
          <c:order val="5"/>
          <c:tx>
            <c:v>4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'Анализ модели'!$C$115:$E$115</c:f>
              <c:numCache>
                <c:formatCode>0.00</c:formatCode>
                <c:ptCount val="3"/>
                <c:pt idx="0">
                  <c:v>-0.62318731416879547</c:v>
                </c:pt>
                <c:pt idx="1">
                  <c:v>0.59489183235057619</c:v>
                </c:pt>
                <c:pt idx="2">
                  <c:v>2.607840023188986E-2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2F-47D0-82BE-D948E8C3AB82}"/>
            </c:ext>
          </c:extLst>
        </c:ser>
        <c:ser>
          <c:idx val="6"/>
          <c:order val="6"/>
          <c:tx>
            <c:v>3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'Анализ модели'!$C$114:$D$114</c:f>
              <c:numCache>
                <c:formatCode>0.00</c:formatCode>
                <c:ptCount val="2"/>
                <c:pt idx="0">
                  <c:v>9.6697809565425077E-3</c:v>
                </c:pt>
                <c:pt idx="1">
                  <c:v>0.25671451064328149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2F-47D0-82BE-D948E8C3AB82}"/>
            </c:ext>
          </c:extLst>
        </c:ser>
        <c:ser>
          <c:idx val="7"/>
          <c:order val="7"/>
          <c:tx>
            <c:v>2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'Анализ модели'!$C$113</c:f>
              <c:numCache>
                <c:formatCode>0.00</c:formatCode>
                <c:ptCount val="1"/>
                <c:pt idx="0">
                  <c:v>3.6355569931441671E-2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2F-47D0-82BE-D948E8C3A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6877872"/>
        <c:axId val="666882192"/>
      </c:barChart>
      <c:catAx>
        <c:axId val="666877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6882192"/>
        <c:crosses val="autoZero"/>
        <c:auto val="1"/>
        <c:lblAlgn val="ctr"/>
        <c:lblOffset val="100"/>
        <c:noMultiLvlLbl val="0"/>
      </c:catAx>
      <c:valAx>
        <c:axId val="66688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68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Y9(Y8)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'Анализ модели'!$J$8:$J$107</c:f>
              <c:numCache>
                <c:formatCode>0</c:formatCode>
                <c:ptCount val="100"/>
                <c:pt idx="0">
                  <c:v>366</c:v>
                </c:pt>
                <c:pt idx="1">
                  <c:v>393</c:v>
                </c:pt>
                <c:pt idx="2">
                  <c:v>408</c:v>
                </c:pt>
                <c:pt idx="3">
                  <c:v>468</c:v>
                </c:pt>
                <c:pt idx="4">
                  <c:v>412</c:v>
                </c:pt>
                <c:pt idx="5">
                  <c:v>401</c:v>
                </c:pt>
                <c:pt idx="6">
                  <c:v>466</c:v>
                </c:pt>
                <c:pt idx="7">
                  <c:v>384</c:v>
                </c:pt>
                <c:pt idx="8">
                  <c:v>493</c:v>
                </c:pt>
                <c:pt idx="9">
                  <c:v>435</c:v>
                </c:pt>
                <c:pt idx="10">
                  <c:v>415</c:v>
                </c:pt>
                <c:pt idx="11">
                  <c:v>334</c:v>
                </c:pt>
                <c:pt idx="12">
                  <c:v>435</c:v>
                </c:pt>
                <c:pt idx="13">
                  <c:v>499</c:v>
                </c:pt>
                <c:pt idx="14">
                  <c:v>453</c:v>
                </c:pt>
                <c:pt idx="15">
                  <c:v>372</c:v>
                </c:pt>
                <c:pt idx="16">
                  <c:v>449</c:v>
                </c:pt>
                <c:pt idx="17">
                  <c:v>425</c:v>
                </c:pt>
                <c:pt idx="18">
                  <c:v>399</c:v>
                </c:pt>
                <c:pt idx="19">
                  <c:v>428</c:v>
                </c:pt>
                <c:pt idx="20">
                  <c:v>438</c:v>
                </c:pt>
                <c:pt idx="21">
                  <c:v>372</c:v>
                </c:pt>
                <c:pt idx="22">
                  <c:v>393</c:v>
                </c:pt>
                <c:pt idx="23">
                  <c:v>438</c:v>
                </c:pt>
                <c:pt idx="24">
                  <c:v>443</c:v>
                </c:pt>
                <c:pt idx="25">
                  <c:v>430</c:v>
                </c:pt>
                <c:pt idx="26">
                  <c:v>398</c:v>
                </c:pt>
                <c:pt idx="27">
                  <c:v>348</c:v>
                </c:pt>
                <c:pt idx="28">
                  <c:v>330</c:v>
                </c:pt>
                <c:pt idx="29">
                  <c:v>442</c:v>
                </c:pt>
                <c:pt idx="30">
                  <c:v>356</c:v>
                </c:pt>
                <c:pt idx="31">
                  <c:v>396</c:v>
                </c:pt>
                <c:pt idx="32">
                  <c:v>436</c:v>
                </c:pt>
                <c:pt idx="33">
                  <c:v>405</c:v>
                </c:pt>
                <c:pt idx="34">
                  <c:v>458</c:v>
                </c:pt>
                <c:pt idx="35">
                  <c:v>377</c:v>
                </c:pt>
                <c:pt idx="36">
                  <c:v>369</c:v>
                </c:pt>
                <c:pt idx="37">
                  <c:v>472</c:v>
                </c:pt>
                <c:pt idx="38">
                  <c:v>404</c:v>
                </c:pt>
                <c:pt idx="39">
                  <c:v>485</c:v>
                </c:pt>
                <c:pt idx="40">
                  <c:v>423</c:v>
                </c:pt>
                <c:pt idx="41">
                  <c:v>428</c:v>
                </c:pt>
                <c:pt idx="42">
                  <c:v>415</c:v>
                </c:pt>
                <c:pt idx="43">
                  <c:v>480</c:v>
                </c:pt>
                <c:pt idx="44">
                  <c:v>408</c:v>
                </c:pt>
                <c:pt idx="45">
                  <c:v>408</c:v>
                </c:pt>
                <c:pt idx="46">
                  <c:v>420</c:v>
                </c:pt>
                <c:pt idx="47">
                  <c:v>426</c:v>
                </c:pt>
                <c:pt idx="48">
                  <c:v>435</c:v>
                </c:pt>
                <c:pt idx="49">
                  <c:v>403</c:v>
                </c:pt>
                <c:pt idx="50">
                  <c:v>367</c:v>
                </c:pt>
                <c:pt idx="51">
                  <c:v>457</c:v>
                </c:pt>
                <c:pt idx="52">
                  <c:v>437</c:v>
                </c:pt>
                <c:pt idx="53">
                  <c:v>444</c:v>
                </c:pt>
                <c:pt idx="54">
                  <c:v>428</c:v>
                </c:pt>
                <c:pt idx="55">
                  <c:v>414</c:v>
                </c:pt>
                <c:pt idx="56">
                  <c:v>347</c:v>
                </c:pt>
                <c:pt idx="57">
                  <c:v>401</c:v>
                </c:pt>
                <c:pt idx="58">
                  <c:v>425</c:v>
                </c:pt>
                <c:pt idx="59">
                  <c:v>412</c:v>
                </c:pt>
                <c:pt idx="60">
                  <c:v>513</c:v>
                </c:pt>
                <c:pt idx="61">
                  <c:v>400</c:v>
                </c:pt>
                <c:pt idx="62">
                  <c:v>474</c:v>
                </c:pt>
                <c:pt idx="63">
                  <c:v>419</c:v>
                </c:pt>
                <c:pt idx="64">
                  <c:v>445</c:v>
                </c:pt>
                <c:pt idx="65">
                  <c:v>418</c:v>
                </c:pt>
                <c:pt idx="66">
                  <c:v>379</c:v>
                </c:pt>
                <c:pt idx="67">
                  <c:v>387</c:v>
                </c:pt>
                <c:pt idx="68">
                  <c:v>355</c:v>
                </c:pt>
                <c:pt idx="69">
                  <c:v>404</c:v>
                </c:pt>
                <c:pt idx="70">
                  <c:v>394</c:v>
                </c:pt>
                <c:pt idx="71">
                  <c:v>416</c:v>
                </c:pt>
                <c:pt idx="72">
                  <c:v>383</c:v>
                </c:pt>
                <c:pt idx="73">
                  <c:v>411</c:v>
                </c:pt>
                <c:pt idx="74">
                  <c:v>334</c:v>
                </c:pt>
                <c:pt idx="75">
                  <c:v>429</c:v>
                </c:pt>
                <c:pt idx="76">
                  <c:v>413</c:v>
                </c:pt>
                <c:pt idx="77">
                  <c:v>463</c:v>
                </c:pt>
                <c:pt idx="78">
                  <c:v>425</c:v>
                </c:pt>
                <c:pt idx="79">
                  <c:v>487</c:v>
                </c:pt>
                <c:pt idx="80">
                  <c:v>435</c:v>
                </c:pt>
                <c:pt idx="81">
                  <c:v>351</c:v>
                </c:pt>
                <c:pt idx="82">
                  <c:v>412</c:v>
                </c:pt>
                <c:pt idx="83">
                  <c:v>374</c:v>
                </c:pt>
                <c:pt idx="84">
                  <c:v>467</c:v>
                </c:pt>
                <c:pt idx="85">
                  <c:v>484</c:v>
                </c:pt>
                <c:pt idx="86">
                  <c:v>439</c:v>
                </c:pt>
                <c:pt idx="87">
                  <c:v>457</c:v>
                </c:pt>
                <c:pt idx="88">
                  <c:v>452</c:v>
                </c:pt>
                <c:pt idx="89">
                  <c:v>398</c:v>
                </c:pt>
                <c:pt idx="90">
                  <c:v>485</c:v>
                </c:pt>
                <c:pt idx="91">
                  <c:v>369</c:v>
                </c:pt>
                <c:pt idx="92">
                  <c:v>405</c:v>
                </c:pt>
                <c:pt idx="93">
                  <c:v>442</c:v>
                </c:pt>
                <c:pt idx="94">
                  <c:v>390</c:v>
                </c:pt>
                <c:pt idx="95">
                  <c:v>419</c:v>
                </c:pt>
                <c:pt idx="96">
                  <c:v>481</c:v>
                </c:pt>
                <c:pt idx="97">
                  <c:v>427</c:v>
                </c:pt>
                <c:pt idx="98">
                  <c:v>372</c:v>
                </c:pt>
                <c:pt idx="99">
                  <c:v>410</c:v>
                </c:pt>
              </c:numCache>
            </c:numRef>
          </c:xVal>
          <c:yVal>
            <c:numRef>
              <c:f>'Анализ модели'!$K$8:$K$107</c:f>
              <c:numCache>
                <c:formatCode>0%</c:formatCode>
                <c:ptCount val="100"/>
                <c:pt idx="0">
                  <c:v>0.3678391959798995</c:v>
                </c:pt>
                <c:pt idx="1">
                  <c:v>0.38491674828599415</c:v>
                </c:pt>
                <c:pt idx="2">
                  <c:v>0.39688715953307391</c:v>
                </c:pt>
                <c:pt idx="3">
                  <c:v>0.43616029822926372</c:v>
                </c:pt>
                <c:pt idx="4">
                  <c:v>0.3931297709923664</c:v>
                </c:pt>
                <c:pt idx="5">
                  <c:v>0.39045764362220059</c:v>
                </c:pt>
                <c:pt idx="6">
                  <c:v>0.43389199255121041</c:v>
                </c:pt>
                <c:pt idx="7">
                  <c:v>0.37137330754352033</c:v>
                </c:pt>
                <c:pt idx="8">
                  <c:v>0.46378174976481656</c:v>
                </c:pt>
                <c:pt idx="9">
                  <c:v>0.41389153187440531</c:v>
                </c:pt>
                <c:pt idx="10">
                  <c:v>0.39114043355325168</c:v>
                </c:pt>
                <c:pt idx="11">
                  <c:v>0.34046890927624873</c:v>
                </c:pt>
                <c:pt idx="12">
                  <c:v>0.41746641074856045</c:v>
                </c:pt>
                <c:pt idx="13">
                  <c:v>0.45281306715063518</c:v>
                </c:pt>
                <c:pt idx="14">
                  <c:v>0.43683702989392476</c:v>
                </c:pt>
                <c:pt idx="15">
                  <c:v>0.37689969604863222</c:v>
                </c:pt>
                <c:pt idx="16">
                  <c:v>0.41535615171137835</c:v>
                </c:pt>
                <c:pt idx="17">
                  <c:v>0.40322580645161288</c:v>
                </c:pt>
                <c:pt idx="18">
                  <c:v>0.37535277516462839</c:v>
                </c:pt>
                <c:pt idx="19">
                  <c:v>0.40568720379146922</c:v>
                </c:pt>
                <c:pt idx="20">
                  <c:v>0.4207492795389049</c:v>
                </c:pt>
                <c:pt idx="21">
                  <c:v>0.37537840565085773</c:v>
                </c:pt>
                <c:pt idx="22">
                  <c:v>0.38229571984435795</c:v>
                </c:pt>
                <c:pt idx="23">
                  <c:v>0.42400774443368827</c:v>
                </c:pt>
                <c:pt idx="24">
                  <c:v>0.43731490621915103</c:v>
                </c:pt>
                <c:pt idx="25">
                  <c:v>0.419921875</c:v>
                </c:pt>
                <c:pt idx="26">
                  <c:v>0.38791423001949316</c:v>
                </c:pt>
                <c:pt idx="27">
                  <c:v>0.34084231145935356</c:v>
                </c:pt>
                <c:pt idx="28">
                  <c:v>0.33570701932858599</c:v>
                </c:pt>
                <c:pt idx="29">
                  <c:v>0.42418426103646834</c:v>
                </c:pt>
                <c:pt idx="30">
                  <c:v>0.3655030800821355</c:v>
                </c:pt>
                <c:pt idx="31">
                  <c:v>0.38671875</c:v>
                </c:pt>
                <c:pt idx="32">
                  <c:v>0.42330097087378643</c:v>
                </c:pt>
                <c:pt idx="33">
                  <c:v>0.39628180039138944</c:v>
                </c:pt>
                <c:pt idx="34">
                  <c:v>0.43953934740882916</c:v>
                </c:pt>
                <c:pt idx="35">
                  <c:v>0.36888454011741684</c:v>
                </c:pt>
                <c:pt idx="36">
                  <c:v>0.35790494665373423</c:v>
                </c:pt>
                <c:pt idx="37">
                  <c:v>0.44029850746268656</c:v>
                </c:pt>
                <c:pt idx="38">
                  <c:v>0.38697318007662834</c:v>
                </c:pt>
                <c:pt idx="39">
                  <c:v>0.43772563176895307</c:v>
                </c:pt>
                <c:pt idx="40">
                  <c:v>0.40439770554493309</c:v>
                </c:pt>
                <c:pt idx="41">
                  <c:v>0.39374425022999082</c:v>
                </c:pt>
                <c:pt idx="42">
                  <c:v>0.39262062440870388</c:v>
                </c:pt>
                <c:pt idx="43">
                  <c:v>0.45070422535211269</c:v>
                </c:pt>
                <c:pt idx="44">
                  <c:v>0.38820171265461467</c:v>
                </c:pt>
                <c:pt idx="45">
                  <c:v>0.38746438746438744</c:v>
                </c:pt>
                <c:pt idx="46">
                  <c:v>0.4</c:v>
                </c:pt>
                <c:pt idx="47">
                  <c:v>0.39701770736253494</c:v>
                </c:pt>
                <c:pt idx="48">
                  <c:v>0.40883458646616544</c:v>
                </c:pt>
                <c:pt idx="49">
                  <c:v>0.38490926456542501</c:v>
                </c:pt>
                <c:pt idx="50">
                  <c:v>0.3535645472061657</c:v>
                </c:pt>
                <c:pt idx="51">
                  <c:v>0.42870544090056284</c:v>
                </c:pt>
                <c:pt idx="52">
                  <c:v>0.39583333333333331</c:v>
                </c:pt>
                <c:pt idx="53">
                  <c:v>0.41690140845070423</c:v>
                </c:pt>
                <c:pt idx="54">
                  <c:v>0.40800762631077214</c:v>
                </c:pt>
                <c:pt idx="55">
                  <c:v>0.40194174757281553</c:v>
                </c:pt>
                <c:pt idx="56">
                  <c:v>0.35662898252826308</c:v>
                </c:pt>
                <c:pt idx="57">
                  <c:v>0.38781431334622823</c:v>
                </c:pt>
                <c:pt idx="58">
                  <c:v>0.41102514506769827</c:v>
                </c:pt>
                <c:pt idx="59">
                  <c:v>0.39388145315487572</c:v>
                </c:pt>
                <c:pt idx="60">
                  <c:v>0.46849315068493153</c:v>
                </c:pt>
                <c:pt idx="61">
                  <c:v>0.38910505836575876</c:v>
                </c:pt>
                <c:pt idx="62">
                  <c:v>0.4376731301939058</c:v>
                </c:pt>
                <c:pt idx="63">
                  <c:v>0.41159135559921417</c:v>
                </c:pt>
                <c:pt idx="64">
                  <c:v>0.40825688073394495</c:v>
                </c:pt>
                <c:pt idx="65">
                  <c:v>0.41263573543928922</c:v>
                </c:pt>
                <c:pt idx="66">
                  <c:v>0.37120470127326149</c:v>
                </c:pt>
                <c:pt idx="67">
                  <c:v>0.37427466150870409</c:v>
                </c:pt>
                <c:pt idx="68">
                  <c:v>0.35079051383399207</c:v>
                </c:pt>
                <c:pt idx="69">
                  <c:v>0.39491691104594329</c:v>
                </c:pt>
                <c:pt idx="70">
                  <c:v>0.39048562933597619</c:v>
                </c:pt>
                <c:pt idx="71">
                  <c:v>0.39431279620853082</c:v>
                </c:pt>
                <c:pt idx="72">
                  <c:v>0.37920792079207921</c:v>
                </c:pt>
                <c:pt idx="73">
                  <c:v>0.3848314606741573</c:v>
                </c:pt>
                <c:pt idx="74">
                  <c:v>0.33102081268582756</c:v>
                </c:pt>
                <c:pt idx="75">
                  <c:v>0.40625</c:v>
                </c:pt>
                <c:pt idx="76">
                  <c:v>0.39370829361296472</c:v>
                </c:pt>
                <c:pt idx="77">
                  <c:v>0.43190298507462688</c:v>
                </c:pt>
                <c:pt idx="78">
                  <c:v>0.40826128722382327</c:v>
                </c:pt>
                <c:pt idx="79">
                  <c:v>0.44072398190045248</c:v>
                </c:pt>
                <c:pt idx="80">
                  <c:v>0.42151162790697677</c:v>
                </c:pt>
                <c:pt idx="81">
                  <c:v>0.34011627906976744</c:v>
                </c:pt>
                <c:pt idx="82">
                  <c:v>0.39691714836223507</c:v>
                </c:pt>
                <c:pt idx="83">
                  <c:v>0.37474949899799598</c:v>
                </c:pt>
                <c:pt idx="84">
                  <c:v>0.43563432835820898</c:v>
                </c:pt>
                <c:pt idx="85">
                  <c:v>0.45023255813953489</c:v>
                </c:pt>
                <c:pt idx="86">
                  <c:v>0.41809523809523808</c:v>
                </c:pt>
                <c:pt idx="87">
                  <c:v>0.43648519579751671</c:v>
                </c:pt>
                <c:pt idx="88">
                  <c:v>0.42085661080074488</c:v>
                </c:pt>
                <c:pt idx="89">
                  <c:v>0.383060635226179</c:v>
                </c:pt>
                <c:pt idx="90">
                  <c:v>0.44949026876737719</c:v>
                </c:pt>
                <c:pt idx="91">
                  <c:v>0.36</c:v>
                </c:pt>
                <c:pt idx="92">
                  <c:v>0.39980256663376113</c:v>
                </c:pt>
                <c:pt idx="93">
                  <c:v>0.4217557251908397</c:v>
                </c:pt>
                <c:pt idx="94">
                  <c:v>0.39078156312625251</c:v>
                </c:pt>
                <c:pt idx="95">
                  <c:v>0.40366088631984587</c:v>
                </c:pt>
                <c:pt idx="96">
                  <c:v>0.44372693726937268</c:v>
                </c:pt>
                <c:pt idx="97">
                  <c:v>0.41057692307692306</c:v>
                </c:pt>
                <c:pt idx="98">
                  <c:v>0.36434867776689522</c:v>
                </c:pt>
                <c:pt idx="99">
                  <c:v>0.40235525024533858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1-4DE2-B589-1B37BB90F083}"/>
            </c:ext>
          </c:extLst>
        </c:ser>
        <c:ser>
          <c:idx val="1"/>
          <c:order val="1"/>
          <c:tx>
            <c:v>OPT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BF1-4DE2-B589-1B37BB90F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054824"/>
        <c:axId val="635051584"/>
      </c:scatterChart>
      <c:valAx>
        <c:axId val="63505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5051584"/>
        <c:crosses val="autoZero"/>
        <c:crossBetween val="midCat"/>
      </c:valAx>
      <c:valAx>
        <c:axId val="63505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5054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>
    <tabColor rgb="FFFFC000"/>
  </sheetPr>
  <sheetViews>
    <sheetView zoomScale="80" workbookViewId="0"/>
  </sheetViews>
  <pageMargins left="0.75" right="0.75" top="1" bottom="1" header="0.5" footer="0.5"/>
  <headerFooter alignWithMargins="0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2</xdr:row>
          <xdr:rowOff>175260</xdr:rowOff>
        </xdr:from>
        <xdr:to>
          <xdr:col>7</xdr:col>
          <xdr:colOff>198120</xdr:colOff>
          <xdr:row>4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Перейти на лист "Модель СМО"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266700</xdr:colOff>
      <xdr:row>5</xdr:row>
      <xdr:rowOff>76200</xdr:rowOff>
    </xdr:from>
    <xdr:to>
      <xdr:col>8</xdr:col>
      <xdr:colOff>556260</xdr:colOff>
      <xdr:row>17</xdr:row>
      <xdr:rowOff>129540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1516380" y="1005840"/>
          <a:ext cx="4038600" cy="20650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В приложении используется модель системы массового обслуживания (СМО). Заявки прибывают в некоторые моменты времени в блок обслуживания (каналы, приборы). Заявки могут обслужиться одним из идентичных приборов. Каждый прибор, работающий с заявкой, тратит на обслуживание некоторое, случайное по продолжительности, время. Если заявка приходит в блок обслуживания в тот момент, когда все приборы заняты обработкой заявок, она становится в конец единой для всех очереди. При этом устанавливается ограничение на максимальную длину очереди. Если на момент прибытия очередной заявки количество их в очереди равно максимально допустимой ее длине, то заявка покидает систему не обслуженной (получает отказ в обслуживании).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13</xdr:row>
          <xdr:rowOff>106680</xdr:rowOff>
        </xdr:from>
        <xdr:to>
          <xdr:col>4</xdr:col>
          <xdr:colOff>0</xdr:colOff>
          <xdr:row>16</xdr:row>
          <xdr:rowOff>68580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Моделирование </a:t>
              </a:r>
            </a:p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( 1 прогон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20</xdr:row>
          <xdr:rowOff>22860</xdr:rowOff>
        </xdr:from>
        <xdr:to>
          <xdr:col>4</xdr:col>
          <xdr:colOff>7620</xdr:colOff>
          <xdr:row>24</xdr:row>
          <xdr:rowOff>45720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Диаграмма распределения количества заявок </a:t>
              </a:r>
            </a:p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 очереди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129540</xdr:colOff>
      <xdr:row>3</xdr:row>
      <xdr:rowOff>0</xdr:rowOff>
    </xdr:from>
    <xdr:to>
      <xdr:col>5</xdr:col>
      <xdr:colOff>0</xdr:colOff>
      <xdr:row>6</xdr:row>
      <xdr:rowOff>68580</xdr:rowOff>
    </xdr:to>
    <xdr:sp macro="" textlink="">
      <xdr:nvSpPr>
        <xdr:cNvPr id="3081" name="Text Box 9">
          <a:extLst>
            <a:ext uri="{FF2B5EF4-FFF2-40B4-BE49-F238E27FC236}">
              <a16:creationId xmlns:a16="http://schemas.microsoft.com/office/drawing/2014/main" id="{00000000-0008-0000-0100-0000090C0000}"/>
            </a:ext>
          </a:extLst>
        </xdr:cNvPr>
        <xdr:cNvSpPr txBox="1">
          <a:spLocks noChangeArrowheads="1"/>
        </xdr:cNvSpPr>
      </xdr:nvSpPr>
      <xdr:spPr bwMode="auto">
        <a:xfrm>
          <a:off x="6418580" y="599440"/>
          <a:ext cx="2989580" cy="6680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0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Измените значения параметров, обведенных </a:t>
          </a:r>
          <a:r>
            <a:rPr lang="ru-RU" sz="1200" b="0" i="0" u="none" strike="noStrike" baseline="0">
              <a:solidFill>
                <a:srgbClr val="0070C0"/>
              </a:solidFill>
              <a:latin typeface="Arial"/>
              <a:cs typeface="Arial"/>
            </a:rPr>
            <a:t>синей</a:t>
          </a:r>
          <a:r>
            <a:rPr lang="ru-RU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рамкой и щелкните по кнопке </a:t>
          </a:r>
          <a:r>
            <a:rPr lang="ru-RU" sz="1200" b="1" i="0" u="none" strike="noStrike" baseline="0">
              <a:solidFill>
                <a:srgbClr val="0070C0"/>
              </a:solidFill>
              <a:latin typeface="Arial"/>
              <a:cs typeface="Arial"/>
            </a:rPr>
            <a:t>Моделирование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17</xdr:row>
          <xdr:rowOff>114300</xdr:rowOff>
        </xdr:from>
        <xdr:to>
          <xdr:col>4</xdr:col>
          <xdr:colOff>22860</xdr:colOff>
          <xdr:row>19</xdr:row>
          <xdr:rowOff>99060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Очистка </a:t>
              </a:r>
              <a:r>
                <a:rPr lang="ru-RU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( прогона 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14</xdr:row>
          <xdr:rowOff>7620</xdr:rowOff>
        </xdr:from>
        <xdr:to>
          <xdr:col>6</xdr:col>
          <xdr:colOff>175260</xdr:colOff>
          <xdr:row>15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Моделирование выборки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18</xdr:row>
          <xdr:rowOff>0</xdr:rowOff>
        </xdr:from>
        <xdr:to>
          <xdr:col>6</xdr:col>
          <xdr:colOff>175260</xdr:colOff>
          <xdr:row>19</xdr:row>
          <xdr:rowOff>30480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Очистка выборки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579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439882</xdr:colOff>
      <xdr:row>121</xdr:row>
      <xdr:rowOff>58883</xdr:rowOff>
    </xdr:from>
    <xdr:to>
      <xdr:col>9</xdr:col>
      <xdr:colOff>273627</xdr:colOff>
      <xdr:row>137</xdr:row>
      <xdr:rowOff>142010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274320</xdr:colOff>
      <xdr:row>153</xdr:row>
      <xdr:rowOff>0</xdr:rowOff>
    </xdr:from>
    <xdr:to>
      <xdr:col>2</xdr:col>
      <xdr:colOff>274320</xdr:colOff>
      <xdr:row>154</xdr:row>
      <xdr:rowOff>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 bwMode="auto">
        <a:xfrm flipV="1">
          <a:off x="1325880" y="26563320"/>
          <a:ext cx="0" cy="16764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153</xdr:row>
      <xdr:rowOff>7620</xdr:rowOff>
    </xdr:from>
    <xdr:to>
      <xdr:col>6</xdr:col>
      <xdr:colOff>7620</xdr:colOff>
      <xdr:row>156</xdr:row>
      <xdr:rowOff>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 bwMode="auto">
        <a:xfrm flipV="1">
          <a:off x="1577340" y="26570940"/>
          <a:ext cx="1584960" cy="49530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175</xdr:row>
      <xdr:rowOff>0</xdr:rowOff>
    </xdr:from>
    <xdr:to>
      <xdr:col>2</xdr:col>
      <xdr:colOff>274320</xdr:colOff>
      <xdr:row>176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 bwMode="auto">
        <a:xfrm flipV="1">
          <a:off x="1325880" y="26563320"/>
          <a:ext cx="0" cy="16764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175</xdr:row>
      <xdr:rowOff>7620</xdr:rowOff>
    </xdr:from>
    <xdr:to>
      <xdr:col>6</xdr:col>
      <xdr:colOff>7620</xdr:colOff>
      <xdr:row>178</xdr:row>
      <xdr:rowOff>0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 bwMode="auto">
        <a:xfrm flipV="1">
          <a:off x="1577340" y="26570940"/>
          <a:ext cx="1584960" cy="49530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281940</xdr:colOff>
      <xdr:row>177</xdr:row>
      <xdr:rowOff>0</xdr:rowOff>
    </xdr:from>
    <xdr:to>
      <xdr:col>2</xdr:col>
      <xdr:colOff>281940</xdr:colOff>
      <xdr:row>178</xdr:row>
      <xdr:rowOff>7620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 bwMode="auto">
        <a:xfrm flipV="1">
          <a:off x="1333500" y="30586680"/>
          <a:ext cx="0" cy="17526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518160</xdr:colOff>
      <xdr:row>174</xdr:row>
      <xdr:rowOff>76200</xdr:rowOff>
    </xdr:from>
    <xdr:to>
      <xdr:col>6</xdr:col>
      <xdr:colOff>0</xdr:colOff>
      <xdr:row>174</xdr:row>
      <xdr:rowOff>83820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 bwMode="auto">
        <a:xfrm flipH="1">
          <a:off x="1569720" y="30159960"/>
          <a:ext cx="1584960" cy="762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297180</xdr:colOff>
      <xdr:row>174</xdr:row>
      <xdr:rowOff>0</xdr:rowOff>
    </xdr:from>
    <xdr:to>
      <xdr:col>4</xdr:col>
      <xdr:colOff>266700</xdr:colOff>
      <xdr:row>179</xdr:row>
      <xdr:rowOff>152400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 bwMode="auto">
        <a:xfrm flipV="1">
          <a:off x="1874520" y="30083760"/>
          <a:ext cx="495300" cy="99060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197</xdr:row>
      <xdr:rowOff>0</xdr:rowOff>
    </xdr:from>
    <xdr:to>
      <xdr:col>2</xdr:col>
      <xdr:colOff>274320</xdr:colOff>
      <xdr:row>198</xdr:row>
      <xdr:rowOff>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V="1">
          <a:off x="1325880" y="30251400"/>
          <a:ext cx="0" cy="16764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197</xdr:row>
      <xdr:rowOff>7620</xdr:rowOff>
    </xdr:from>
    <xdr:to>
      <xdr:col>6</xdr:col>
      <xdr:colOff>7620</xdr:colOff>
      <xdr:row>200</xdr:row>
      <xdr:rowOff>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 bwMode="auto">
        <a:xfrm flipV="1">
          <a:off x="1577340" y="30259020"/>
          <a:ext cx="1584960" cy="49530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281940</xdr:colOff>
      <xdr:row>199</xdr:row>
      <xdr:rowOff>0</xdr:rowOff>
    </xdr:from>
    <xdr:to>
      <xdr:col>2</xdr:col>
      <xdr:colOff>281940</xdr:colOff>
      <xdr:row>200</xdr:row>
      <xdr:rowOff>7620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 bwMode="auto">
        <a:xfrm flipV="1">
          <a:off x="1333500" y="30586680"/>
          <a:ext cx="0" cy="17526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518160</xdr:colOff>
      <xdr:row>196</xdr:row>
      <xdr:rowOff>76200</xdr:rowOff>
    </xdr:from>
    <xdr:to>
      <xdr:col>6</xdr:col>
      <xdr:colOff>0</xdr:colOff>
      <xdr:row>196</xdr:row>
      <xdr:rowOff>83820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1569720" y="30159960"/>
          <a:ext cx="1584960" cy="762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297180</xdr:colOff>
      <xdr:row>196</xdr:row>
      <xdr:rowOff>0</xdr:rowOff>
    </xdr:from>
    <xdr:to>
      <xdr:col>4</xdr:col>
      <xdr:colOff>266700</xdr:colOff>
      <xdr:row>201</xdr:row>
      <xdr:rowOff>152400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 bwMode="auto">
        <a:xfrm flipV="1">
          <a:off x="1874520" y="30083760"/>
          <a:ext cx="495300" cy="990600"/>
        </a:xfrm>
        <a:prstGeom prst="line">
          <a:avLst/>
        </a:prstGeom>
        <a:ln w="38100">
          <a:solidFill>
            <a:srgbClr val="FFFF00"/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15240</xdr:colOff>
      <xdr:row>196</xdr:row>
      <xdr:rowOff>68580</xdr:rowOff>
    </xdr:from>
    <xdr:to>
      <xdr:col>6</xdr:col>
      <xdr:colOff>7620</xdr:colOff>
      <xdr:row>198</xdr:row>
      <xdr:rowOff>68580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 flipH="1">
          <a:off x="1592580" y="33840420"/>
          <a:ext cx="1569720" cy="33528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282</xdr:row>
      <xdr:rowOff>30480</xdr:rowOff>
    </xdr:from>
    <xdr:to>
      <xdr:col>8</xdr:col>
      <xdr:colOff>518160</xdr:colOff>
      <xdr:row>298</xdr:row>
      <xdr:rowOff>83820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70660EF-03E2-3CCC-D599-72F06F41F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2:I15"/>
  <sheetViews>
    <sheetView zoomScale="150" zoomScaleNormal="150" workbookViewId="0">
      <selection activeCell="F4" sqref="F4"/>
    </sheetView>
  </sheetViews>
  <sheetFormatPr defaultColWidth="9.109375" defaultRowHeight="13.2" x14ac:dyDescent="0.25"/>
  <cols>
    <col min="1" max="16384" width="9.109375" style="1"/>
  </cols>
  <sheetData>
    <row r="2" spans="2:9" ht="15.6" x14ac:dyDescent="0.3">
      <c r="C2" s="88" t="s">
        <v>0</v>
      </c>
      <c r="D2" s="88"/>
      <c r="E2" s="88"/>
      <c r="F2" s="88"/>
      <c r="G2" s="88"/>
      <c r="H2" s="88"/>
      <c r="I2" s="88"/>
    </row>
    <row r="3" spans="2:9" ht="15.6" x14ac:dyDescent="0.3">
      <c r="C3" s="2"/>
      <c r="D3" s="3"/>
      <c r="E3" s="3"/>
      <c r="F3" s="3"/>
    </row>
    <row r="4" spans="2:9" ht="15.6" x14ac:dyDescent="0.3">
      <c r="C4" s="2"/>
      <c r="D4" s="3"/>
      <c r="E4" s="3"/>
      <c r="F4" s="3"/>
    </row>
    <row r="6" spans="2:9" x14ac:dyDescent="0.25">
      <c r="B6" s="4"/>
    </row>
    <row r="7" spans="2:9" x14ac:dyDescent="0.25">
      <c r="B7" s="5"/>
    </row>
    <row r="8" spans="2:9" x14ac:dyDescent="0.25">
      <c r="B8" s="5"/>
    </row>
    <row r="9" spans="2:9" x14ac:dyDescent="0.25">
      <c r="B9" s="5"/>
    </row>
    <row r="10" spans="2:9" x14ac:dyDescent="0.25">
      <c r="B10" s="5"/>
    </row>
    <row r="11" spans="2:9" x14ac:dyDescent="0.25">
      <c r="B11" s="5"/>
    </row>
    <row r="12" spans="2:9" x14ac:dyDescent="0.25">
      <c r="B12" s="4"/>
    </row>
    <row r="13" spans="2:9" x14ac:dyDescent="0.25">
      <c r="B13" s="4"/>
    </row>
    <row r="14" spans="2:9" x14ac:dyDescent="0.25">
      <c r="B14" s="4"/>
    </row>
    <row r="15" spans="2:9" x14ac:dyDescent="0.25">
      <c r="B15" s="4"/>
    </row>
  </sheetData>
  <mergeCells count="1">
    <mergeCell ref="C2:I2"/>
  </mergeCells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Line="0" autoPict="0" macro="[0]!ViewChangeInputs">
                <anchor moveWithCells="1" sizeWithCells="1">
                  <from>
                    <xdr:col>3</xdr:col>
                    <xdr:colOff>594360</xdr:colOff>
                    <xdr:row>2</xdr:row>
                    <xdr:rowOff>175260</xdr:rowOff>
                  </from>
                  <to>
                    <xdr:col>7</xdr:col>
                    <xdr:colOff>198120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P34"/>
  <sheetViews>
    <sheetView topLeftCell="A3" zoomScale="86" zoomScaleNormal="100" workbookViewId="0">
      <selection activeCell="A2" sqref="A2"/>
    </sheetView>
  </sheetViews>
  <sheetFormatPr defaultColWidth="9.109375" defaultRowHeight="15" x14ac:dyDescent="0.25"/>
  <cols>
    <col min="1" max="1" width="59.109375" style="6" customWidth="1"/>
    <col min="2" max="2" width="12.88671875" style="16" customWidth="1"/>
    <col min="3" max="3" width="19.6640625" style="6" customWidth="1"/>
    <col min="4" max="4" width="36.33203125" style="6" customWidth="1"/>
    <col min="5" max="6" width="9.109375" style="6"/>
    <col min="7" max="7" width="9.109375" style="30"/>
    <col min="8" max="12" width="9.109375" style="6"/>
    <col min="13" max="13" width="9.6640625" style="6" bestFit="1" customWidth="1"/>
    <col min="14" max="16384" width="9.109375" style="6"/>
  </cols>
  <sheetData>
    <row r="1" spans="1:16" ht="15.6" x14ac:dyDescent="0.3">
      <c r="A1" s="28" t="s">
        <v>1</v>
      </c>
      <c r="B1" s="6"/>
      <c r="G1" s="45" t="s">
        <v>21</v>
      </c>
      <c r="H1" s="46">
        <v>1527</v>
      </c>
    </row>
    <row r="2" spans="1:16" x14ac:dyDescent="0.25">
      <c r="B2" s="6"/>
      <c r="G2" s="35"/>
    </row>
    <row r="3" spans="1:16" ht="15.6" x14ac:dyDescent="0.3">
      <c r="A3" s="24" t="s">
        <v>11</v>
      </c>
      <c r="B3" s="31"/>
      <c r="C3" s="32"/>
      <c r="J3" s="80"/>
      <c r="K3" s="80"/>
      <c r="L3" s="80"/>
      <c r="M3" s="30"/>
      <c r="N3" s="30"/>
    </row>
    <row r="4" spans="1:16" ht="15.6" x14ac:dyDescent="0.25">
      <c r="A4" s="6" t="s">
        <v>2</v>
      </c>
      <c r="B4" s="59" t="s">
        <v>3</v>
      </c>
      <c r="C4" s="8"/>
      <c r="H4" s="47"/>
      <c r="I4" s="30"/>
      <c r="J4" s="81"/>
      <c r="K4" s="81"/>
      <c r="L4" s="81"/>
      <c r="M4" s="30"/>
      <c r="N4" s="30"/>
      <c r="O4" s="36"/>
      <c r="P4" s="36"/>
    </row>
    <row r="5" spans="1:16" ht="15.6" x14ac:dyDescent="0.3">
      <c r="A5" s="26" t="s">
        <v>22</v>
      </c>
      <c r="B5" s="61">
        <v>7</v>
      </c>
      <c r="C5" s="8" t="s">
        <v>38</v>
      </c>
      <c r="H5"/>
      <c r="I5" s="30"/>
      <c r="J5" s="81"/>
      <c r="K5" s="81"/>
      <c r="L5" s="81"/>
      <c r="M5" s="82"/>
      <c r="N5" s="82"/>
      <c r="P5" s="14"/>
    </row>
    <row r="6" spans="1:16" ht="15.6" x14ac:dyDescent="0.3">
      <c r="A6" s="26" t="s">
        <v>23</v>
      </c>
      <c r="B6" s="61">
        <v>1</v>
      </c>
      <c r="C6" s="8" t="s">
        <v>31</v>
      </c>
      <c r="H6"/>
      <c r="I6" s="30"/>
      <c r="J6" s="81"/>
      <c r="K6" s="81"/>
      <c r="L6" s="81"/>
      <c r="M6" s="82"/>
      <c r="N6" s="82"/>
      <c r="P6" s="14"/>
    </row>
    <row r="7" spans="1:16" ht="15.6" x14ac:dyDescent="0.3">
      <c r="A7" s="26" t="s">
        <v>24</v>
      </c>
      <c r="B7" s="61">
        <v>12</v>
      </c>
      <c r="C7" s="6" t="s">
        <v>8</v>
      </c>
      <c r="H7"/>
      <c r="I7" s="30"/>
      <c r="J7" s="81"/>
      <c r="K7" s="81"/>
      <c r="L7" s="81"/>
      <c r="M7" s="82"/>
      <c r="N7" s="82"/>
      <c r="P7" s="14"/>
    </row>
    <row r="8" spans="1:16" ht="15.6" x14ac:dyDescent="0.3">
      <c r="A8" s="27" t="s">
        <v>4</v>
      </c>
      <c r="B8" s="60">
        <v>20</v>
      </c>
      <c r="C8" s="6" t="s">
        <v>9</v>
      </c>
      <c r="D8" s="7" t="s">
        <v>7</v>
      </c>
      <c r="I8" s="30"/>
      <c r="J8" s="81"/>
      <c r="K8" s="81"/>
      <c r="L8" s="81"/>
      <c r="M8" s="82"/>
      <c r="N8" s="82"/>
      <c r="P8" s="14"/>
    </row>
    <row r="9" spans="1:16" ht="15.6" x14ac:dyDescent="0.3">
      <c r="A9" s="27" t="s">
        <v>16</v>
      </c>
      <c r="B9" s="59">
        <v>500</v>
      </c>
      <c r="C9" s="8" t="s">
        <v>31</v>
      </c>
      <c r="D9" s="6" t="s">
        <v>39</v>
      </c>
      <c r="E9" s="58">
        <f>ArriveRate/(NumServers/MeanServeTime)</f>
        <v>0.58333333333333337</v>
      </c>
      <c r="I9" s="30"/>
      <c r="J9" s="81"/>
      <c r="K9" s="81"/>
      <c r="L9" s="81"/>
      <c r="M9" s="82"/>
      <c r="N9" s="82"/>
      <c r="P9" s="14"/>
    </row>
    <row r="10" spans="1:16" x14ac:dyDescent="0.25">
      <c r="B10" s="6"/>
      <c r="I10" s="30"/>
      <c r="J10" s="81"/>
      <c r="K10" s="81"/>
      <c r="L10" s="81"/>
      <c r="M10" s="82"/>
      <c r="N10" s="82"/>
      <c r="P10" s="14"/>
    </row>
    <row r="11" spans="1:16" ht="15.6" x14ac:dyDescent="0.3">
      <c r="A11" s="25" t="s">
        <v>12</v>
      </c>
      <c r="B11" s="9"/>
      <c r="I11" s="30"/>
      <c r="J11" s="81"/>
      <c r="K11" s="81"/>
      <c r="L11" s="81"/>
      <c r="M11" s="82"/>
      <c r="N11" s="82"/>
      <c r="P11" s="14"/>
    </row>
    <row r="12" spans="1:16" ht="15.6" x14ac:dyDescent="0.3">
      <c r="A12" s="6" t="s">
        <v>25</v>
      </c>
      <c r="B12" s="23">
        <v>503.09036254882813</v>
      </c>
      <c r="C12" s="8" t="s">
        <v>31</v>
      </c>
      <c r="D12" s="29" t="s">
        <v>10</v>
      </c>
      <c r="E12" s="48">
        <v>100</v>
      </c>
      <c r="I12" s="30"/>
      <c r="J12" s="81"/>
      <c r="K12" s="81"/>
      <c r="L12" s="81"/>
      <c r="M12" s="82"/>
      <c r="N12" s="82"/>
      <c r="P12" s="14"/>
    </row>
    <row r="13" spans="1:16" ht="12.75" customHeight="1" x14ac:dyDescent="0.3">
      <c r="B13" s="10"/>
      <c r="D13" s="10"/>
      <c r="I13" s="30"/>
      <c r="J13" s="81"/>
      <c r="K13" s="81"/>
      <c r="L13" s="81"/>
      <c r="M13" s="82"/>
      <c r="N13" s="82"/>
      <c r="P13" s="14"/>
    </row>
    <row r="14" spans="1:16" ht="15.6" x14ac:dyDescent="0.3">
      <c r="A14" s="6" t="s">
        <v>26</v>
      </c>
      <c r="B14" s="17">
        <v>1.4356655068695545E-2</v>
      </c>
      <c r="C14" s="8" t="s">
        <v>31</v>
      </c>
      <c r="D14" s="11"/>
      <c r="I14" s="30"/>
      <c r="J14" s="81"/>
      <c r="K14" s="81"/>
      <c r="L14" s="81"/>
      <c r="M14" s="82"/>
      <c r="N14" s="82"/>
      <c r="P14" s="14"/>
    </row>
    <row r="15" spans="1:16" ht="15.6" x14ac:dyDescent="0.3">
      <c r="A15" s="6" t="s">
        <v>27</v>
      </c>
      <c r="B15" s="18">
        <v>1.2493176460266113</v>
      </c>
      <c r="C15" s="8" t="s">
        <v>31</v>
      </c>
      <c r="D15" s="11"/>
      <c r="I15" s="30"/>
      <c r="J15" s="81"/>
      <c r="K15" s="81"/>
      <c r="L15" s="81"/>
      <c r="M15" s="82"/>
      <c r="N15" s="82"/>
      <c r="P15" s="14"/>
    </row>
    <row r="16" spans="1:16" ht="15.6" x14ac:dyDescent="0.3">
      <c r="A16" s="6" t="s">
        <v>28</v>
      </c>
      <c r="B16" s="18">
        <v>0.10047852993011475</v>
      </c>
      <c r="C16" s="6" t="s">
        <v>30</v>
      </c>
      <c r="D16" s="11"/>
      <c r="I16" s="30"/>
      <c r="J16" s="81"/>
      <c r="K16" s="81"/>
      <c r="L16" s="81"/>
      <c r="M16" s="82"/>
      <c r="N16" s="82"/>
      <c r="P16" s="14"/>
    </row>
    <row r="17" spans="1:16" ht="15.6" x14ac:dyDescent="0.3">
      <c r="A17" s="6" t="s">
        <v>29</v>
      </c>
      <c r="B17" s="19">
        <v>7</v>
      </c>
      <c r="C17" s="6" t="s">
        <v>30</v>
      </c>
      <c r="D17" s="11"/>
      <c r="I17" s="30"/>
      <c r="J17" s="81"/>
      <c r="K17" s="81"/>
      <c r="L17" s="81"/>
      <c r="M17" s="82"/>
      <c r="N17" s="82"/>
      <c r="P17" s="14"/>
    </row>
    <row r="18" spans="1:16" x14ac:dyDescent="0.25">
      <c r="B18" s="12"/>
      <c r="D18" s="11"/>
      <c r="I18" s="30"/>
      <c r="J18" s="81"/>
      <c r="K18" s="81"/>
      <c r="L18" s="81"/>
      <c r="M18" s="82"/>
      <c r="N18" s="82"/>
      <c r="P18" s="14"/>
    </row>
    <row r="19" spans="1:16" ht="15.6" x14ac:dyDescent="0.3">
      <c r="A19" s="6" t="s">
        <v>32</v>
      </c>
      <c r="B19" s="20">
        <v>0.5790855884552002</v>
      </c>
      <c r="C19" s="6" t="s">
        <v>6</v>
      </c>
      <c r="D19" s="14"/>
      <c r="I19" s="30"/>
      <c r="J19" s="81"/>
      <c r="K19" s="81"/>
      <c r="L19" s="81"/>
      <c r="M19" s="82"/>
      <c r="N19" s="82"/>
      <c r="P19" s="14"/>
    </row>
    <row r="20" spans="1:16" x14ac:dyDescent="0.25">
      <c r="B20" s="13"/>
      <c r="D20" s="14"/>
      <c r="I20" s="30"/>
      <c r="J20" s="81"/>
      <c r="K20" s="81"/>
      <c r="L20" s="81"/>
      <c r="M20" s="82"/>
      <c r="N20" s="82"/>
      <c r="P20" s="14"/>
    </row>
    <row r="21" spans="1:16" ht="15.6" x14ac:dyDescent="0.3">
      <c r="A21" s="6" t="s">
        <v>33</v>
      </c>
      <c r="B21" s="21">
        <v>3521</v>
      </c>
      <c r="C21" s="6" t="s">
        <v>30</v>
      </c>
      <c r="I21" s="30"/>
      <c r="J21" s="81"/>
      <c r="K21" s="81"/>
      <c r="L21" s="81"/>
      <c r="M21" s="82"/>
      <c r="N21" s="82"/>
      <c r="P21" s="14"/>
    </row>
    <row r="22" spans="1:16" ht="15.6" x14ac:dyDescent="0.3">
      <c r="A22" s="6" t="s">
        <v>34</v>
      </c>
      <c r="B22" s="21">
        <v>0</v>
      </c>
      <c r="C22" s="6" t="s">
        <v>30</v>
      </c>
      <c r="I22" s="30"/>
      <c r="J22" s="81"/>
      <c r="K22" s="81"/>
      <c r="L22" s="81"/>
      <c r="M22" s="82"/>
      <c r="N22" s="82"/>
      <c r="P22" s="14"/>
    </row>
    <row r="23" spans="1:16" ht="15.6" x14ac:dyDescent="0.3">
      <c r="A23" s="6" t="s">
        <v>35</v>
      </c>
      <c r="B23" s="22">
        <f>NumLost/(NumLost + NumServed)</f>
        <v>0</v>
      </c>
      <c r="C23" s="6" t="s">
        <v>6</v>
      </c>
      <c r="I23" s="30"/>
      <c r="J23" s="81"/>
      <c r="K23" s="81"/>
      <c r="L23" s="81"/>
      <c r="M23" s="82"/>
      <c r="N23" s="82"/>
      <c r="P23" s="14"/>
    </row>
    <row r="24" spans="1:16" x14ac:dyDescent="0.25">
      <c r="B24" s="6"/>
      <c r="I24" s="30"/>
      <c r="J24" s="81"/>
      <c r="K24" s="81"/>
      <c r="L24" s="81"/>
      <c r="M24" s="82"/>
      <c r="N24" s="82"/>
      <c r="P24" s="14"/>
    </row>
    <row r="25" spans="1:16" x14ac:dyDescent="0.25">
      <c r="A25" s="6" t="s">
        <v>36</v>
      </c>
      <c r="B25" s="6"/>
      <c r="I25" s="30"/>
      <c r="J25" s="81"/>
      <c r="K25" s="81"/>
      <c r="L25" s="81"/>
      <c r="M25" s="82"/>
      <c r="N25" s="82"/>
      <c r="P25" s="14"/>
    </row>
    <row r="26" spans="1:16" x14ac:dyDescent="0.25">
      <c r="A26" s="15" t="s">
        <v>37</v>
      </c>
      <c r="B26" s="15" t="s">
        <v>5</v>
      </c>
      <c r="I26" s="30"/>
      <c r="J26" s="81"/>
      <c r="K26" s="81"/>
      <c r="L26" s="81"/>
      <c r="M26" s="82"/>
      <c r="N26" s="82"/>
      <c r="P26" s="14"/>
    </row>
    <row r="27" spans="1:16" x14ac:dyDescent="0.25">
      <c r="A27" s="6">
        <v>0</v>
      </c>
      <c r="B27" s="16">
        <v>0.9604569673538208</v>
      </c>
      <c r="I27" s="30"/>
      <c r="J27" s="81"/>
      <c r="K27" s="81"/>
      <c r="L27" s="81"/>
      <c r="M27" s="82"/>
      <c r="N27" s="82"/>
      <c r="P27" s="14"/>
    </row>
    <row r="28" spans="1:16" x14ac:dyDescent="0.25">
      <c r="A28" s="6">
        <v>1</v>
      </c>
      <c r="B28" s="16">
        <v>1.2800796888768673E-2</v>
      </c>
      <c r="I28" s="30"/>
      <c r="J28" s="81"/>
      <c r="K28" s="81"/>
      <c r="L28" s="81"/>
      <c r="M28" s="82"/>
      <c r="N28" s="82"/>
      <c r="P28" s="14"/>
    </row>
    <row r="29" spans="1:16" x14ac:dyDescent="0.25">
      <c r="A29" s="6">
        <v>2</v>
      </c>
      <c r="B29" s="16">
        <v>9.4379018992185593E-3</v>
      </c>
      <c r="I29" s="30"/>
      <c r="J29" s="81"/>
      <c r="K29" s="81"/>
      <c r="L29" s="81"/>
      <c r="M29" s="82"/>
      <c r="N29" s="82"/>
      <c r="P29" s="14"/>
    </row>
    <row r="30" spans="1:16" x14ac:dyDescent="0.25">
      <c r="A30" s="6">
        <v>3</v>
      </c>
      <c r="B30" s="16">
        <v>7.0608840323984623E-3</v>
      </c>
      <c r="I30" s="30"/>
      <c r="J30" s="81"/>
      <c r="K30" s="81"/>
      <c r="L30" s="81"/>
      <c r="M30" s="82"/>
      <c r="N30" s="82"/>
      <c r="P30" s="14"/>
    </row>
    <row r="31" spans="1:16" x14ac:dyDescent="0.25">
      <c r="A31" s="6">
        <v>4</v>
      </c>
      <c r="B31" s="16">
        <v>5.3409012034535408E-3</v>
      </c>
      <c r="I31" s="30"/>
      <c r="J31" s="81"/>
      <c r="K31" s="81"/>
      <c r="L31" s="81"/>
      <c r="M31" s="82"/>
      <c r="N31" s="82"/>
      <c r="P31" s="14"/>
    </row>
    <row r="32" spans="1:16" x14ac:dyDescent="0.25">
      <c r="A32" s="6">
        <v>5</v>
      </c>
      <c r="B32" s="16">
        <v>3.4307767637073994E-3</v>
      </c>
      <c r="I32" s="30"/>
      <c r="J32" s="81"/>
      <c r="K32" s="81"/>
      <c r="L32" s="81"/>
      <c r="M32" s="82"/>
      <c r="N32" s="82"/>
      <c r="P32" s="14"/>
    </row>
    <row r="33" spans="1:16" x14ac:dyDescent="0.25">
      <c r="A33" s="6">
        <v>6</v>
      </c>
      <c r="B33" s="16">
        <v>1.2002940056845546E-3</v>
      </c>
      <c r="C33" s="14"/>
      <c r="I33" s="30"/>
      <c r="J33" s="81"/>
      <c r="K33" s="81"/>
      <c r="L33" s="81"/>
      <c r="M33" s="82"/>
      <c r="N33" s="82"/>
      <c r="P33" s="14"/>
    </row>
    <row r="34" spans="1:16" x14ac:dyDescent="0.25">
      <c r="A34" s="6">
        <v>7</v>
      </c>
      <c r="B34" s="16">
        <v>2.7143178158439696E-4</v>
      </c>
      <c r="M34" s="14"/>
      <c r="P34" s="14"/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autoFill="0" autoLine="0" autoPict="0" macro="[0]!Main">
                <anchor moveWithCells="1" sizeWithCells="1">
                  <from>
                    <xdr:col>3</xdr:col>
                    <xdr:colOff>236220</xdr:colOff>
                    <xdr:row>13</xdr:row>
                    <xdr:rowOff>106680</xdr:rowOff>
                  </from>
                  <to>
                    <xdr:col>4</xdr:col>
                    <xdr:colOff>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autoFill="0" autoLine="0" autoPict="0" macro="[0]!UpdateChart">
                <anchor moveWithCells="1" sizeWithCells="1">
                  <from>
                    <xdr:col>3</xdr:col>
                    <xdr:colOff>266700</xdr:colOff>
                    <xdr:row>20</xdr:row>
                    <xdr:rowOff>22860</xdr:rowOff>
                  </from>
                  <to>
                    <xdr:col>4</xdr:col>
                    <xdr:colOff>7620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ClearOldResults">
                <anchor moveWithCells="1" sizeWithCells="1">
                  <from>
                    <xdr:col>3</xdr:col>
                    <xdr:colOff>259080</xdr:colOff>
                    <xdr:row>17</xdr:row>
                    <xdr:rowOff>114300</xdr:rowOff>
                  </from>
                  <to>
                    <xdr:col>4</xdr:col>
                    <xdr:colOff>22860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CicleN">
                <anchor moveWithCells="1" sizeWithCells="1">
                  <from>
                    <xdr:col>4</xdr:col>
                    <xdr:colOff>220980</xdr:colOff>
                    <xdr:row>14</xdr:row>
                    <xdr:rowOff>7620</xdr:rowOff>
                  </from>
                  <to>
                    <xdr:col>6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ClearN">
                <anchor moveWithCells="1" sizeWithCells="1">
                  <from>
                    <xdr:col>4</xdr:col>
                    <xdr:colOff>251460</xdr:colOff>
                    <xdr:row>18</xdr:row>
                    <xdr:rowOff>0</xdr:rowOff>
                  </from>
                  <to>
                    <xdr:col>6</xdr:col>
                    <xdr:colOff>175260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rgb="FF0070C0"/>
  </sheetPr>
  <dimension ref="A1:T301"/>
  <sheetViews>
    <sheetView tabSelected="1" topLeftCell="A279" zoomScaleNormal="100" workbookViewId="0">
      <selection activeCell="E305" sqref="E305"/>
    </sheetView>
  </sheetViews>
  <sheetFormatPr defaultRowHeight="13.2" x14ac:dyDescent="0.25"/>
  <cols>
    <col min="1" max="11" width="7.6640625" customWidth="1"/>
    <col min="12" max="12" width="24.33203125" bestFit="1" customWidth="1"/>
    <col min="13" max="13" width="16" bestFit="1" customWidth="1"/>
    <col min="14" max="14" width="21.44140625" bestFit="1" customWidth="1"/>
    <col min="15" max="18" width="14.5546875" bestFit="1" customWidth="1"/>
    <col min="19" max="19" width="14.21875" bestFit="1" customWidth="1"/>
    <col min="20" max="20" width="14.77734375" bestFit="1" customWidth="1"/>
    <col min="21" max="77" width="7.6640625" customWidth="1"/>
  </cols>
  <sheetData>
    <row r="1" spans="1:13" x14ac:dyDescent="0.25">
      <c r="A1" s="37" t="s">
        <v>18</v>
      </c>
      <c r="B1" s="37"/>
    </row>
    <row r="3" spans="1:13" ht="85.2" customHeight="1" x14ac:dyDescent="0.25">
      <c r="C3" s="44" t="s">
        <v>40</v>
      </c>
      <c r="D3" s="39" t="s">
        <v>41</v>
      </c>
      <c r="E3" s="39" t="s">
        <v>42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47</v>
      </c>
      <c r="K3" s="39" t="s">
        <v>48</v>
      </c>
    </row>
    <row r="4" spans="1:13" x14ac:dyDescent="0.25">
      <c r="B4" s="33" t="s">
        <v>14</v>
      </c>
      <c r="C4" s="38">
        <f>AVERAGE(C8:C107)</f>
        <v>543.15442321777346</v>
      </c>
      <c r="D4" s="38">
        <f t="shared" ref="D4:K4" si="0">AVERAGE(D8:D107)</f>
        <v>14.650995931625367</v>
      </c>
      <c r="E4" s="38">
        <f t="shared" si="0"/>
        <v>26.503494758605957</v>
      </c>
      <c r="F4" s="38">
        <f t="shared" si="0"/>
        <v>16.798861265182495</v>
      </c>
      <c r="G4" s="38">
        <f t="shared" si="0"/>
        <v>20</v>
      </c>
      <c r="H4" s="38">
        <f t="shared" si="0"/>
        <v>0.95987691640853878</v>
      </c>
      <c r="I4" s="38">
        <f t="shared" si="0"/>
        <v>623.72</v>
      </c>
      <c r="J4" s="38">
        <f t="shared" si="0"/>
        <v>418.21</v>
      </c>
      <c r="K4" s="38">
        <f t="shared" si="0"/>
        <v>0.40085027036792192</v>
      </c>
      <c r="M4" s="52"/>
    </row>
    <row r="5" spans="1:13" x14ac:dyDescent="0.25">
      <c r="B5" s="33" t="s">
        <v>15</v>
      </c>
      <c r="C5" s="40">
        <f>_xlfn.STDEV.S(C8:C107)</f>
        <v>10.690808628090915</v>
      </c>
      <c r="D5" s="40">
        <f t="shared" ref="D5:K5" si="1">_xlfn.STDEV.S(D8:D107)</f>
        <v>0.7743718441847387</v>
      </c>
      <c r="E5" s="40">
        <f t="shared" si="1"/>
        <v>2.267645452539147</v>
      </c>
      <c r="F5" s="40">
        <f>_xlfn.STDEV.S(F8:F107)</f>
        <v>0.47709670222966266</v>
      </c>
      <c r="G5" s="40">
        <f t="shared" si="1"/>
        <v>0</v>
      </c>
      <c r="H5" s="40">
        <f t="shared" si="1"/>
        <v>1.5114117510447169E-2</v>
      </c>
      <c r="I5" s="40">
        <f t="shared" si="1"/>
        <v>23.620774968256445</v>
      </c>
      <c r="J5" s="40">
        <f t="shared" si="1"/>
        <v>39.345990516150046</v>
      </c>
      <c r="K5" s="40">
        <f t="shared" si="1"/>
        <v>2.9544227262181158E-2</v>
      </c>
    </row>
    <row r="6" spans="1:13" x14ac:dyDescent="0.25">
      <c r="C6" s="41"/>
      <c r="D6" s="42"/>
      <c r="E6" s="42"/>
      <c r="F6" s="42" t="s">
        <v>13</v>
      </c>
      <c r="G6" s="42"/>
      <c r="H6" s="42"/>
      <c r="I6" s="42"/>
      <c r="J6" s="42"/>
      <c r="K6" s="43"/>
    </row>
    <row r="7" spans="1:13" x14ac:dyDescent="0.25">
      <c r="B7" s="34" t="s">
        <v>20</v>
      </c>
      <c r="C7" s="57" t="s">
        <v>17</v>
      </c>
      <c r="D7" s="57" t="s">
        <v>17</v>
      </c>
      <c r="E7" s="57" t="s">
        <v>17</v>
      </c>
      <c r="F7" s="57" t="s">
        <v>49</v>
      </c>
      <c r="G7" s="57" t="s">
        <v>49</v>
      </c>
      <c r="H7" s="57" t="s">
        <v>19</v>
      </c>
      <c r="I7" s="57" t="s">
        <v>49</v>
      </c>
      <c r="J7" s="57" t="s">
        <v>49</v>
      </c>
      <c r="K7" s="57" t="s">
        <v>19</v>
      </c>
    </row>
    <row r="8" spans="1:13" x14ac:dyDescent="0.25">
      <c r="B8" s="49">
        <v>1</v>
      </c>
      <c r="C8" s="50">
        <v>536.87481689453125</v>
      </c>
      <c r="D8" s="50">
        <v>14.20172119140625</v>
      </c>
      <c r="E8" s="50">
        <v>27.715667724609375</v>
      </c>
      <c r="F8" s="50">
        <v>16.638666152954102</v>
      </c>
      <c r="G8" s="50">
        <v>20</v>
      </c>
      <c r="H8" s="51">
        <v>0.97052747011184692</v>
      </c>
      <c r="I8" s="50">
        <v>629</v>
      </c>
      <c r="J8" s="50">
        <v>366</v>
      </c>
      <c r="K8" s="51">
        <v>0.3678391959798995</v>
      </c>
    </row>
    <row r="9" spans="1:13" x14ac:dyDescent="0.25">
      <c r="B9" s="49">
        <v>2</v>
      </c>
      <c r="C9" s="50">
        <v>542.67889404296875</v>
      </c>
      <c r="D9" s="50">
        <v>14.757156372070313</v>
      </c>
      <c r="E9" s="50">
        <v>26.326751708984375</v>
      </c>
      <c r="F9" s="50">
        <v>17.077299118041992</v>
      </c>
      <c r="G9" s="50">
        <v>20</v>
      </c>
      <c r="H9" s="51">
        <v>0.96320062875747681</v>
      </c>
      <c r="I9" s="50">
        <v>628</v>
      </c>
      <c r="J9" s="50">
        <v>393</v>
      </c>
      <c r="K9" s="51">
        <v>0.38491674828599415</v>
      </c>
    </row>
    <row r="10" spans="1:13" x14ac:dyDescent="0.25">
      <c r="B10" s="49">
        <v>3</v>
      </c>
      <c r="C10" s="50">
        <v>549.010009765625</v>
      </c>
      <c r="D10" s="50">
        <v>14.500935554504395</v>
      </c>
      <c r="E10" s="50">
        <v>26.7095947265625</v>
      </c>
      <c r="F10" s="50">
        <v>16.375980377197266</v>
      </c>
      <c r="G10" s="50">
        <v>20</v>
      </c>
      <c r="H10" s="51">
        <v>0.95638924837112427</v>
      </c>
      <c r="I10" s="50">
        <v>620</v>
      </c>
      <c r="J10" s="50">
        <v>408</v>
      </c>
      <c r="K10" s="51">
        <v>0.39688715953307391</v>
      </c>
    </row>
    <row r="11" spans="1:13" x14ac:dyDescent="0.25">
      <c r="B11" s="49">
        <v>4</v>
      </c>
      <c r="C11" s="50">
        <v>548.76324462890625</v>
      </c>
      <c r="D11" s="50">
        <v>15.133674621582031</v>
      </c>
      <c r="E11" s="50">
        <v>25.770217895507813</v>
      </c>
      <c r="F11" s="50">
        <v>16.684535980224609</v>
      </c>
      <c r="G11" s="50">
        <v>20</v>
      </c>
      <c r="H11" s="51">
        <v>0.94930052757263184</v>
      </c>
      <c r="I11" s="50">
        <v>605</v>
      </c>
      <c r="J11" s="50">
        <v>468</v>
      </c>
      <c r="K11" s="51">
        <v>0.43616029822926372</v>
      </c>
    </row>
    <row r="12" spans="1:13" x14ac:dyDescent="0.25">
      <c r="B12" s="49">
        <v>5</v>
      </c>
      <c r="C12" s="50">
        <v>535.40777587890625</v>
      </c>
      <c r="D12" s="50">
        <v>14.45341682434082</v>
      </c>
      <c r="E12" s="50">
        <v>32.105514526367188</v>
      </c>
      <c r="F12" s="50">
        <v>17.168907165527344</v>
      </c>
      <c r="G12" s="50">
        <v>20</v>
      </c>
      <c r="H12" s="51">
        <v>0.96547645330429077</v>
      </c>
      <c r="I12" s="50">
        <v>636</v>
      </c>
      <c r="J12" s="50">
        <v>412</v>
      </c>
      <c r="K12" s="51">
        <v>0.3931297709923664</v>
      </c>
    </row>
    <row r="13" spans="1:13" x14ac:dyDescent="0.25">
      <c r="B13" s="49">
        <v>6</v>
      </c>
      <c r="C13" s="50">
        <v>541.8482666015625</v>
      </c>
      <c r="D13" s="50">
        <v>14.568509101867676</v>
      </c>
      <c r="E13" s="50">
        <v>23.09002685546875</v>
      </c>
      <c r="F13" s="50">
        <v>16.831085205078125</v>
      </c>
      <c r="G13" s="50">
        <v>20</v>
      </c>
      <c r="H13" s="51">
        <v>0.96247291564941406</v>
      </c>
      <c r="I13" s="50">
        <v>626</v>
      </c>
      <c r="J13" s="50">
        <v>401</v>
      </c>
      <c r="K13" s="51">
        <v>0.39045764362220059</v>
      </c>
    </row>
    <row r="14" spans="1:13" x14ac:dyDescent="0.25">
      <c r="B14" s="49">
        <v>7</v>
      </c>
      <c r="C14" s="50">
        <v>531.42486572265625</v>
      </c>
      <c r="D14" s="50">
        <v>15.367739677429199</v>
      </c>
      <c r="E14" s="50">
        <v>26.87579345703125</v>
      </c>
      <c r="F14" s="50">
        <v>17.582120895385742</v>
      </c>
      <c r="G14" s="50">
        <v>20</v>
      </c>
      <c r="H14" s="51">
        <v>0.97601604461669922</v>
      </c>
      <c r="I14" s="50">
        <v>608</v>
      </c>
      <c r="J14" s="50">
        <v>466</v>
      </c>
      <c r="K14" s="51">
        <v>0.43389199255121041</v>
      </c>
    </row>
    <row r="15" spans="1:13" x14ac:dyDescent="0.25">
      <c r="B15" s="49">
        <v>8</v>
      </c>
      <c r="C15" s="50">
        <v>534.0799560546875</v>
      </c>
      <c r="D15" s="50">
        <v>13.91148853302002</v>
      </c>
      <c r="E15" s="50">
        <v>28.94622802734375</v>
      </c>
      <c r="F15" s="50">
        <v>16.930923461914063</v>
      </c>
      <c r="G15" s="50">
        <v>20</v>
      </c>
      <c r="H15" s="51">
        <v>0.96865278482437134</v>
      </c>
      <c r="I15" s="50">
        <v>650</v>
      </c>
      <c r="J15" s="50">
        <v>384</v>
      </c>
      <c r="K15" s="51">
        <v>0.37137330754352033</v>
      </c>
    </row>
    <row r="16" spans="1:13" x14ac:dyDescent="0.25">
      <c r="B16" s="49">
        <v>9</v>
      </c>
      <c r="C16" s="50">
        <v>535.98748779296875</v>
      </c>
      <c r="D16" s="50">
        <v>16.637876510620117</v>
      </c>
      <c r="E16" s="50">
        <v>25.038116455078125</v>
      </c>
      <c r="F16" s="50">
        <v>17.693702697753906</v>
      </c>
      <c r="G16" s="50">
        <v>20</v>
      </c>
      <c r="H16" s="51">
        <v>0.97845780849456787</v>
      </c>
      <c r="I16" s="50">
        <v>570</v>
      </c>
      <c r="J16" s="50">
        <v>493</v>
      </c>
      <c r="K16" s="51">
        <v>0.46378174976481656</v>
      </c>
    </row>
    <row r="17" spans="2:13" x14ac:dyDescent="0.25">
      <c r="B17" s="49">
        <v>10</v>
      </c>
      <c r="C17" s="50">
        <v>541.65606689453125</v>
      </c>
      <c r="D17" s="50">
        <v>14.968898773193359</v>
      </c>
      <c r="E17" s="50">
        <v>25.579177856445313</v>
      </c>
      <c r="F17" s="50">
        <v>17.023405075073242</v>
      </c>
      <c r="G17" s="50">
        <v>20</v>
      </c>
      <c r="H17" s="51">
        <v>0.94516432285308838</v>
      </c>
      <c r="I17" s="50">
        <v>616</v>
      </c>
      <c r="J17" s="50">
        <v>435</v>
      </c>
      <c r="K17" s="51">
        <v>0.41389153187440531</v>
      </c>
    </row>
    <row r="18" spans="2:13" x14ac:dyDescent="0.25">
      <c r="B18" s="49">
        <v>11</v>
      </c>
      <c r="C18" s="50">
        <v>534.37353515625</v>
      </c>
      <c r="D18" s="50">
        <v>13.658275604248047</v>
      </c>
      <c r="E18" s="50">
        <v>26.191612243652344</v>
      </c>
      <c r="F18" s="50">
        <v>16.511362075805664</v>
      </c>
      <c r="G18" s="50">
        <v>20</v>
      </c>
      <c r="H18" s="51">
        <v>0.97703611850738525</v>
      </c>
      <c r="I18" s="50">
        <v>646</v>
      </c>
      <c r="J18" s="50">
        <v>415</v>
      </c>
      <c r="K18" s="51">
        <v>0.39114043355325168</v>
      </c>
    </row>
    <row r="19" spans="2:13" x14ac:dyDescent="0.25">
      <c r="B19" s="49">
        <v>12</v>
      </c>
      <c r="C19" s="50">
        <v>548.5201416015625</v>
      </c>
      <c r="D19" s="50">
        <v>14.150602340698242</v>
      </c>
      <c r="E19" s="50">
        <v>22.18798828125</v>
      </c>
      <c r="F19" s="50">
        <v>16.691167831420898</v>
      </c>
      <c r="G19" s="50">
        <v>20</v>
      </c>
      <c r="H19" s="51">
        <v>0.95574647188186646</v>
      </c>
      <c r="I19" s="50">
        <v>647</v>
      </c>
      <c r="J19" s="50">
        <v>334</v>
      </c>
      <c r="K19" s="51">
        <v>0.34046890927624873</v>
      </c>
    </row>
    <row r="20" spans="2:13" x14ac:dyDescent="0.25">
      <c r="B20" s="49">
        <v>13</v>
      </c>
      <c r="C20" s="50">
        <v>538.64678955078125</v>
      </c>
      <c r="D20" s="50">
        <v>15.044572830200195</v>
      </c>
      <c r="E20" s="50">
        <v>24.28228759765625</v>
      </c>
      <c r="F20" s="50">
        <v>16.953706741333008</v>
      </c>
      <c r="G20" s="50">
        <v>20</v>
      </c>
      <c r="H20" s="51">
        <v>0.9664766788482666</v>
      </c>
      <c r="I20" s="50">
        <v>607</v>
      </c>
      <c r="J20" s="50">
        <v>435</v>
      </c>
      <c r="K20" s="51">
        <v>0.41746641074856045</v>
      </c>
      <c r="M20" s="52"/>
    </row>
    <row r="21" spans="2:13" x14ac:dyDescent="0.25">
      <c r="B21" s="49">
        <v>14</v>
      </c>
      <c r="C21" s="50">
        <v>547.6513671875</v>
      </c>
      <c r="D21" s="50">
        <v>15.755035400390625</v>
      </c>
      <c r="E21" s="50">
        <v>27.39874267578125</v>
      </c>
      <c r="F21" s="50">
        <v>17.347341537475586</v>
      </c>
      <c r="G21" s="50">
        <v>20</v>
      </c>
      <c r="H21" s="51">
        <v>0.96739774942398071</v>
      </c>
      <c r="I21" s="50">
        <v>603</v>
      </c>
      <c r="J21" s="50">
        <v>499</v>
      </c>
      <c r="K21" s="51">
        <v>0.45281306715063518</v>
      </c>
    </row>
    <row r="22" spans="2:13" x14ac:dyDescent="0.25">
      <c r="B22" s="49">
        <v>15</v>
      </c>
      <c r="C22" s="50">
        <v>544.3714599609375</v>
      </c>
      <c r="D22" s="50">
        <v>15.417720794677734</v>
      </c>
      <c r="E22" s="50">
        <v>29.207855224609375</v>
      </c>
      <c r="F22" s="50">
        <v>16.540084838867188</v>
      </c>
      <c r="G22" s="50">
        <v>20</v>
      </c>
      <c r="H22" s="51">
        <v>0.95921176671981812</v>
      </c>
      <c r="I22" s="50">
        <v>584</v>
      </c>
      <c r="J22" s="50">
        <v>453</v>
      </c>
      <c r="K22" s="51">
        <v>0.43683702989392476</v>
      </c>
    </row>
    <row r="23" spans="2:13" x14ac:dyDescent="0.25">
      <c r="B23" s="49">
        <v>16</v>
      </c>
      <c r="C23" s="50">
        <v>530.4962158203125</v>
      </c>
      <c r="D23" s="50">
        <v>14.735907554626465</v>
      </c>
      <c r="E23" s="50">
        <v>28.394088745117188</v>
      </c>
      <c r="F23" s="50">
        <v>17.083230972290039</v>
      </c>
      <c r="G23" s="50">
        <v>20</v>
      </c>
      <c r="H23" s="51">
        <v>0.97295880317687988</v>
      </c>
      <c r="I23" s="50">
        <v>615</v>
      </c>
      <c r="J23" s="50">
        <v>372</v>
      </c>
      <c r="K23" s="51">
        <v>0.37689969604863222</v>
      </c>
    </row>
    <row r="24" spans="2:13" x14ac:dyDescent="0.25">
      <c r="B24" s="49">
        <v>17</v>
      </c>
      <c r="C24" s="50">
        <v>550.93310546875</v>
      </c>
      <c r="D24" s="50">
        <v>14.514357566833496</v>
      </c>
      <c r="E24" s="50">
        <v>23.20855712890625</v>
      </c>
      <c r="F24" s="50">
        <v>16.650083541870117</v>
      </c>
      <c r="G24" s="50">
        <v>20</v>
      </c>
      <c r="H24" s="51">
        <v>0.94117379188537598</v>
      </c>
      <c r="I24" s="50">
        <v>632</v>
      </c>
      <c r="J24" s="50">
        <v>449</v>
      </c>
      <c r="K24" s="51">
        <v>0.41535615171137835</v>
      </c>
    </row>
    <row r="25" spans="2:13" x14ac:dyDescent="0.25">
      <c r="B25" s="49">
        <v>18</v>
      </c>
      <c r="C25" s="50">
        <v>562.4578857421875</v>
      </c>
      <c r="D25" s="50">
        <v>14.628344535827637</v>
      </c>
      <c r="E25" s="50">
        <v>23.219207763671875</v>
      </c>
      <c r="F25" s="50">
        <v>16.358978271484375</v>
      </c>
      <c r="G25" s="50">
        <v>20</v>
      </c>
      <c r="H25" s="51">
        <v>0.93467599153518677</v>
      </c>
      <c r="I25" s="50">
        <v>629</v>
      </c>
      <c r="J25" s="50">
        <v>425</v>
      </c>
      <c r="K25" s="51">
        <v>0.40322580645161288</v>
      </c>
    </row>
    <row r="26" spans="2:13" x14ac:dyDescent="0.25">
      <c r="B26" s="49">
        <v>19</v>
      </c>
      <c r="C26" s="50">
        <v>537.99114990234375</v>
      </c>
      <c r="D26" s="50">
        <v>13.280983924865723</v>
      </c>
      <c r="E26" s="50">
        <v>24.125968933105469</v>
      </c>
      <c r="F26" s="50">
        <v>16.391674041748047</v>
      </c>
      <c r="G26" s="50">
        <v>20</v>
      </c>
      <c r="H26" s="51">
        <v>0.97656118869781494</v>
      </c>
      <c r="I26" s="50">
        <v>664</v>
      </c>
      <c r="J26" s="50">
        <v>399</v>
      </c>
      <c r="K26" s="51">
        <v>0.37535277516462839</v>
      </c>
    </row>
    <row r="27" spans="2:13" x14ac:dyDescent="0.25">
      <c r="B27" s="49">
        <v>20</v>
      </c>
      <c r="C27" s="50">
        <v>541.985107421875</v>
      </c>
      <c r="D27" s="50">
        <v>14.45821475982666</v>
      </c>
      <c r="E27" s="50">
        <v>26.22222900390625</v>
      </c>
      <c r="F27" s="50">
        <v>16.726099014282227</v>
      </c>
      <c r="G27" s="50">
        <v>20</v>
      </c>
      <c r="H27" s="51">
        <v>0.96062397956848145</v>
      </c>
      <c r="I27" s="50">
        <v>627</v>
      </c>
      <c r="J27" s="50">
        <v>428</v>
      </c>
      <c r="K27" s="51">
        <v>0.40568720379146922</v>
      </c>
    </row>
    <row r="28" spans="2:13" x14ac:dyDescent="0.25">
      <c r="B28" s="49">
        <v>21</v>
      </c>
      <c r="C28" s="50">
        <v>541.0997314453125</v>
      </c>
      <c r="D28" s="50">
        <v>15.483110427856445</v>
      </c>
      <c r="E28" s="50">
        <v>25.617652893066406</v>
      </c>
      <c r="F28" s="50">
        <v>17.254331588745117</v>
      </c>
      <c r="G28" s="50">
        <v>20</v>
      </c>
      <c r="H28" s="51">
        <v>0.97085261344909668</v>
      </c>
      <c r="I28" s="50">
        <v>603</v>
      </c>
      <c r="J28" s="50">
        <v>438</v>
      </c>
      <c r="K28" s="51">
        <v>0.4207492795389049</v>
      </c>
    </row>
    <row r="29" spans="2:13" x14ac:dyDescent="0.25">
      <c r="B29" s="49">
        <v>22</v>
      </c>
      <c r="C29" s="50">
        <v>531.2764892578125</v>
      </c>
      <c r="D29" s="50">
        <v>14.476861953735352</v>
      </c>
      <c r="E29" s="50">
        <v>28.969757080078125</v>
      </c>
      <c r="F29" s="50">
        <v>16.867267608642578</v>
      </c>
      <c r="G29" s="50">
        <v>20</v>
      </c>
      <c r="H29" s="51">
        <v>0.97161787748336792</v>
      </c>
      <c r="I29" s="50">
        <v>619</v>
      </c>
      <c r="J29" s="50">
        <v>372</v>
      </c>
      <c r="K29" s="51">
        <v>0.37537840565085773</v>
      </c>
    </row>
    <row r="30" spans="2:13" x14ac:dyDescent="0.25">
      <c r="B30" s="49">
        <v>23</v>
      </c>
      <c r="C30" s="50">
        <v>567.8321533203125</v>
      </c>
      <c r="D30" s="50">
        <v>13.701892852783203</v>
      </c>
      <c r="E30" s="50">
        <v>28.72003173828125</v>
      </c>
      <c r="F30" s="50">
        <v>15.322648048400879</v>
      </c>
      <c r="G30" s="50">
        <v>20</v>
      </c>
      <c r="H30" s="51">
        <v>0.91834127902984619</v>
      </c>
      <c r="I30" s="50">
        <v>635</v>
      </c>
      <c r="J30" s="50">
        <v>393</v>
      </c>
      <c r="K30" s="51">
        <v>0.38229571984435795</v>
      </c>
    </row>
    <row r="31" spans="2:13" x14ac:dyDescent="0.25">
      <c r="B31" s="49">
        <v>24</v>
      </c>
      <c r="C31" s="50">
        <v>532.049560546875</v>
      </c>
      <c r="D31" s="50">
        <v>15.365846633911133</v>
      </c>
      <c r="E31" s="50">
        <v>26.55926513671875</v>
      </c>
      <c r="F31" s="50">
        <v>17.183883666992188</v>
      </c>
      <c r="G31" s="50">
        <v>20</v>
      </c>
      <c r="H31" s="51">
        <v>0.9758945107460022</v>
      </c>
      <c r="I31" s="50">
        <v>595</v>
      </c>
      <c r="J31" s="50">
        <v>438</v>
      </c>
      <c r="K31" s="51">
        <v>0.42400774443368827</v>
      </c>
    </row>
    <row r="32" spans="2:13" x14ac:dyDescent="0.25">
      <c r="B32" s="49">
        <v>25</v>
      </c>
      <c r="C32" s="50">
        <v>546.48736572265625</v>
      </c>
      <c r="D32" s="50">
        <v>16.183568954467773</v>
      </c>
      <c r="E32" s="50">
        <v>27.682147979736328</v>
      </c>
      <c r="F32" s="50">
        <v>16.879846572875977</v>
      </c>
      <c r="G32" s="50">
        <v>20</v>
      </c>
      <c r="H32" s="51">
        <v>0.95816099643707275</v>
      </c>
      <c r="I32" s="50">
        <v>570</v>
      </c>
      <c r="J32" s="50">
        <v>443</v>
      </c>
      <c r="K32" s="51">
        <v>0.43731490621915103</v>
      </c>
    </row>
    <row r="33" spans="2:13" x14ac:dyDescent="0.25">
      <c r="B33" s="49">
        <v>26</v>
      </c>
      <c r="C33" s="50">
        <v>559.180908203125</v>
      </c>
      <c r="D33" s="50">
        <v>15.614298820495605</v>
      </c>
      <c r="E33" s="50">
        <v>28.194427490234375</v>
      </c>
      <c r="F33" s="50">
        <v>16.586557388305664</v>
      </c>
      <c r="G33" s="50">
        <v>20</v>
      </c>
      <c r="H33" s="51">
        <v>0.94239616394042969</v>
      </c>
      <c r="I33" s="50">
        <v>594</v>
      </c>
      <c r="J33" s="50">
        <v>430</v>
      </c>
      <c r="K33" s="51">
        <v>0.419921875</v>
      </c>
    </row>
    <row r="34" spans="2:13" x14ac:dyDescent="0.25">
      <c r="B34" s="49">
        <v>27</v>
      </c>
      <c r="C34" s="50">
        <v>537.1761474609375</v>
      </c>
      <c r="D34" s="50">
        <v>14.548493385314941</v>
      </c>
      <c r="E34" s="50">
        <v>26.746688842773438</v>
      </c>
      <c r="F34" s="50">
        <v>17.008281707763672</v>
      </c>
      <c r="G34" s="50">
        <v>20</v>
      </c>
      <c r="H34" s="51">
        <v>0.97176802158355713</v>
      </c>
      <c r="I34" s="50">
        <v>628</v>
      </c>
      <c r="J34" s="50">
        <v>398</v>
      </c>
      <c r="K34" s="51">
        <v>0.38791423001949316</v>
      </c>
    </row>
    <row r="35" spans="2:13" x14ac:dyDescent="0.25">
      <c r="B35" s="49">
        <v>28</v>
      </c>
      <c r="C35" s="50">
        <v>548.6065673828125</v>
      </c>
      <c r="D35" s="50">
        <v>13.201250076293945</v>
      </c>
      <c r="E35" s="50">
        <v>24.550567626953125</v>
      </c>
      <c r="F35" s="50">
        <v>16.194564819335938</v>
      </c>
      <c r="G35" s="50">
        <v>20</v>
      </c>
      <c r="H35" s="51">
        <v>0.93999296426773071</v>
      </c>
      <c r="I35" s="50">
        <v>673</v>
      </c>
      <c r="J35" s="50">
        <v>348</v>
      </c>
      <c r="K35" s="51">
        <v>0.34084231145935356</v>
      </c>
    </row>
    <row r="36" spans="2:13" x14ac:dyDescent="0.25">
      <c r="B36" s="49">
        <v>29</v>
      </c>
      <c r="C36" s="50">
        <v>528.5791015625</v>
      </c>
      <c r="D36" s="50">
        <v>12.911264419555664</v>
      </c>
      <c r="E36" s="50">
        <v>24.860931396484375</v>
      </c>
      <c r="F36" s="50">
        <v>15.950418472290039</v>
      </c>
      <c r="G36" s="50">
        <v>20</v>
      </c>
      <c r="H36" s="51">
        <v>0.96661722660064697</v>
      </c>
      <c r="I36" s="50">
        <v>653</v>
      </c>
      <c r="J36" s="50">
        <v>330</v>
      </c>
      <c r="K36" s="51">
        <v>0.33570701932858599</v>
      </c>
      <c r="M36" s="52"/>
    </row>
    <row r="37" spans="2:13" x14ac:dyDescent="0.25">
      <c r="B37" s="49">
        <v>30</v>
      </c>
      <c r="C37" s="50">
        <v>528.3553466796875</v>
      </c>
      <c r="D37" s="50">
        <v>14.720394134521484</v>
      </c>
      <c r="E37" s="50">
        <v>27.972099304199219</v>
      </c>
      <c r="F37" s="50">
        <v>16.716453552246094</v>
      </c>
      <c r="G37" s="50">
        <v>20</v>
      </c>
      <c r="H37" s="51">
        <v>0.98019540309906006</v>
      </c>
      <c r="I37" s="50">
        <v>600</v>
      </c>
      <c r="J37" s="50">
        <v>442</v>
      </c>
      <c r="K37" s="51">
        <v>0.42418426103646834</v>
      </c>
    </row>
    <row r="38" spans="2:13" x14ac:dyDescent="0.25">
      <c r="B38" s="49">
        <v>31</v>
      </c>
      <c r="C38" s="50">
        <v>546.9996337890625</v>
      </c>
      <c r="D38" s="50">
        <v>14.442591667175293</v>
      </c>
      <c r="E38" s="50">
        <v>24.698822021484375</v>
      </c>
      <c r="F38" s="50">
        <v>16.317222595214844</v>
      </c>
      <c r="G38" s="50">
        <v>20</v>
      </c>
      <c r="H38" s="51">
        <v>0.95196384191513062</v>
      </c>
      <c r="I38" s="50">
        <v>618</v>
      </c>
      <c r="J38" s="50">
        <v>356</v>
      </c>
      <c r="K38" s="51">
        <v>0.3655030800821355</v>
      </c>
    </row>
    <row r="39" spans="2:13" x14ac:dyDescent="0.25">
      <c r="B39" s="49">
        <v>32</v>
      </c>
      <c r="C39" s="50">
        <v>573.1270751953125</v>
      </c>
      <c r="D39" s="50">
        <v>14.236973762512207</v>
      </c>
      <c r="E39" s="50">
        <v>30.2314453125</v>
      </c>
      <c r="F39" s="50">
        <v>15.600059509277344</v>
      </c>
      <c r="G39" s="50">
        <v>20</v>
      </c>
      <c r="H39" s="51">
        <v>0.91979461908340454</v>
      </c>
      <c r="I39" s="50">
        <v>628</v>
      </c>
      <c r="J39" s="50">
        <v>396</v>
      </c>
      <c r="K39" s="51">
        <v>0.38671875</v>
      </c>
    </row>
    <row r="40" spans="2:13" x14ac:dyDescent="0.25">
      <c r="B40" s="49">
        <v>33</v>
      </c>
      <c r="C40" s="50">
        <v>528.25762939453125</v>
      </c>
      <c r="D40" s="50">
        <v>15.741990089416504</v>
      </c>
      <c r="E40" s="50">
        <v>25.43975830078125</v>
      </c>
      <c r="F40" s="50">
        <v>17.70109748840332</v>
      </c>
      <c r="G40" s="50">
        <v>20</v>
      </c>
      <c r="H40" s="51">
        <v>0.98702871799468994</v>
      </c>
      <c r="I40" s="50">
        <v>594</v>
      </c>
      <c r="J40" s="50">
        <v>436</v>
      </c>
      <c r="K40" s="51">
        <v>0.42330097087378643</v>
      </c>
    </row>
    <row r="41" spans="2:13" x14ac:dyDescent="0.25">
      <c r="B41" s="49">
        <v>34</v>
      </c>
      <c r="C41" s="50">
        <v>546.30059814453125</v>
      </c>
      <c r="D41" s="50">
        <v>14.800923347473145</v>
      </c>
      <c r="E41" s="50">
        <v>23.25067138671875</v>
      </c>
      <c r="F41" s="50">
        <v>16.716379165649414</v>
      </c>
      <c r="G41" s="50">
        <v>20</v>
      </c>
      <c r="H41" s="51">
        <v>0.95633435249328613</v>
      </c>
      <c r="I41" s="50">
        <v>617</v>
      </c>
      <c r="J41" s="50">
        <v>405</v>
      </c>
      <c r="K41" s="51">
        <v>0.39628180039138944</v>
      </c>
    </row>
    <row r="42" spans="2:13" x14ac:dyDescent="0.25">
      <c r="B42" s="49">
        <v>35</v>
      </c>
      <c r="C42" s="50">
        <v>538.2093505859375</v>
      </c>
      <c r="D42" s="50">
        <v>15.997025489807129</v>
      </c>
      <c r="E42" s="50">
        <v>25.634468078613281</v>
      </c>
      <c r="F42" s="50">
        <v>17.358066558837891</v>
      </c>
      <c r="G42" s="50">
        <v>20</v>
      </c>
      <c r="H42" s="51">
        <v>0.96788877248764038</v>
      </c>
      <c r="I42" s="50">
        <v>584</v>
      </c>
      <c r="J42" s="50">
        <v>458</v>
      </c>
      <c r="K42" s="51">
        <v>0.43953934740882916</v>
      </c>
    </row>
    <row r="43" spans="2:13" x14ac:dyDescent="0.25">
      <c r="B43" s="49">
        <v>36</v>
      </c>
      <c r="C43" s="50">
        <v>541.15625</v>
      </c>
      <c r="D43" s="50">
        <v>13.928250312805176</v>
      </c>
      <c r="E43" s="50">
        <v>24.961166381835938</v>
      </c>
      <c r="F43" s="50">
        <v>16.600992202758789</v>
      </c>
      <c r="G43" s="50">
        <v>20</v>
      </c>
      <c r="H43" s="51">
        <v>0.96419930458068848</v>
      </c>
      <c r="I43" s="50">
        <v>645</v>
      </c>
      <c r="J43" s="50">
        <v>377</v>
      </c>
      <c r="K43" s="51">
        <v>0.36888454011741684</v>
      </c>
    </row>
    <row r="44" spans="2:13" x14ac:dyDescent="0.25">
      <c r="B44" s="49">
        <v>37</v>
      </c>
      <c r="C44" s="50">
        <v>535.31207275390625</v>
      </c>
      <c r="D44" s="50">
        <v>13.770130157470703</v>
      </c>
      <c r="E44" s="50">
        <v>26.389839172363281</v>
      </c>
      <c r="F44" s="50">
        <v>17.029010772705078</v>
      </c>
      <c r="G44" s="50">
        <v>20</v>
      </c>
      <c r="H44" s="51">
        <v>0.97420138120651245</v>
      </c>
      <c r="I44" s="50">
        <v>662</v>
      </c>
      <c r="J44" s="50">
        <v>369</v>
      </c>
      <c r="K44" s="51">
        <v>0.35790494665373423</v>
      </c>
    </row>
    <row r="45" spans="2:13" x14ac:dyDescent="0.25">
      <c r="B45" s="49">
        <v>38</v>
      </c>
      <c r="C45" s="50">
        <v>542.0379638671875</v>
      </c>
      <c r="D45" s="50">
        <v>15.393610000610352</v>
      </c>
      <c r="E45" s="50">
        <v>25.619094848632813</v>
      </c>
      <c r="F45" s="50">
        <v>17.039730072021484</v>
      </c>
      <c r="G45" s="50">
        <v>20</v>
      </c>
      <c r="H45" s="51">
        <v>0.95277327299118042</v>
      </c>
      <c r="I45" s="50">
        <v>600</v>
      </c>
      <c r="J45" s="50">
        <v>472</v>
      </c>
      <c r="K45" s="51">
        <v>0.44029850746268656</v>
      </c>
    </row>
    <row r="46" spans="2:13" x14ac:dyDescent="0.25">
      <c r="B46" s="49">
        <v>39</v>
      </c>
      <c r="C46" s="50">
        <v>549.6773681640625</v>
      </c>
      <c r="D46" s="50">
        <v>14.242950439453125</v>
      </c>
      <c r="E46" s="50">
        <v>23.22406005859375</v>
      </c>
      <c r="F46" s="50">
        <v>16.583351135253906</v>
      </c>
      <c r="G46" s="50">
        <v>20</v>
      </c>
      <c r="H46" s="51">
        <v>0.94692033529281616</v>
      </c>
      <c r="I46" s="50">
        <v>640</v>
      </c>
      <c r="J46" s="50">
        <v>404</v>
      </c>
      <c r="K46" s="51">
        <v>0.38697318007662834</v>
      </c>
    </row>
    <row r="47" spans="2:13" x14ac:dyDescent="0.25">
      <c r="B47" s="49">
        <v>40</v>
      </c>
      <c r="C47" s="50">
        <v>537.647216796875</v>
      </c>
      <c r="D47" s="50">
        <v>14.894465446472168</v>
      </c>
      <c r="E47" s="50">
        <v>24.141067504882813</v>
      </c>
      <c r="F47" s="50">
        <v>17.259002685546875</v>
      </c>
      <c r="G47" s="50">
        <v>20</v>
      </c>
      <c r="H47" s="51">
        <v>0.97469115257263184</v>
      </c>
      <c r="I47" s="50">
        <v>623</v>
      </c>
      <c r="J47" s="50">
        <v>485</v>
      </c>
      <c r="K47" s="51">
        <v>0.43772563176895307</v>
      </c>
    </row>
    <row r="48" spans="2:13" x14ac:dyDescent="0.25">
      <c r="B48" s="49">
        <v>41</v>
      </c>
      <c r="C48" s="50">
        <v>531.12786865234375</v>
      </c>
      <c r="D48" s="50">
        <v>14.913743019104004</v>
      </c>
      <c r="E48" s="50">
        <v>25.851829528808594</v>
      </c>
      <c r="F48" s="50">
        <v>17.493444442749023</v>
      </c>
      <c r="G48" s="50">
        <v>20</v>
      </c>
      <c r="H48" s="51">
        <v>0.97934478521347046</v>
      </c>
      <c r="I48" s="50">
        <v>623</v>
      </c>
      <c r="J48" s="50">
        <v>423</v>
      </c>
      <c r="K48" s="51">
        <v>0.40439770554493309</v>
      </c>
    </row>
    <row r="49" spans="2:13" x14ac:dyDescent="0.25">
      <c r="B49" s="49">
        <v>42</v>
      </c>
      <c r="C49" s="50">
        <v>538.10992431640625</v>
      </c>
      <c r="D49" s="50">
        <v>14.301956176757813</v>
      </c>
      <c r="E49" s="50">
        <v>27.39703369140625</v>
      </c>
      <c r="F49" s="50">
        <v>17.514997482299805</v>
      </c>
      <c r="G49" s="50">
        <v>20</v>
      </c>
      <c r="H49" s="51">
        <v>0.97311913967132568</v>
      </c>
      <c r="I49" s="50">
        <v>659</v>
      </c>
      <c r="J49" s="50">
        <v>428</v>
      </c>
      <c r="K49" s="51">
        <v>0.39374425022999082</v>
      </c>
    </row>
    <row r="50" spans="2:13" x14ac:dyDescent="0.25">
      <c r="B50" s="49">
        <v>43</v>
      </c>
      <c r="C50" s="50">
        <v>546.814208984375</v>
      </c>
      <c r="D50" s="50">
        <v>14.078792572021484</v>
      </c>
      <c r="E50" s="50">
        <v>31.35638427734375</v>
      </c>
      <c r="F50" s="50">
        <v>16.529535293579102</v>
      </c>
      <c r="G50" s="50">
        <v>20</v>
      </c>
      <c r="H50" s="51">
        <v>0.96569132804870605</v>
      </c>
      <c r="I50" s="50">
        <v>642</v>
      </c>
      <c r="J50" s="50">
        <v>415</v>
      </c>
      <c r="K50" s="51">
        <v>0.39262062440870388</v>
      </c>
    </row>
    <row r="51" spans="2:13" x14ac:dyDescent="0.25">
      <c r="B51" s="49">
        <v>44</v>
      </c>
      <c r="C51" s="50">
        <v>556.9400634765625</v>
      </c>
      <c r="D51" s="50">
        <v>16.141096115112305</v>
      </c>
      <c r="E51" s="50">
        <v>30.577117919921875</v>
      </c>
      <c r="F51" s="50">
        <v>16.954328536987305</v>
      </c>
      <c r="G51" s="50">
        <v>20</v>
      </c>
      <c r="H51" s="51">
        <v>0.93315452337265015</v>
      </c>
      <c r="I51" s="50">
        <v>585</v>
      </c>
      <c r="J51" s="50">
        <v>480</v>
      </c>
      <c r="K51" s="51">
        <v>0.45070422535211269</v>
      </c>
    </row>
    <row r="52" spans="2:13" x14ac:dyDescent="0.25">
      <c r="B52" s="49">
        <v>45</v>
      </c>
      <c r="C52" s="50">
        <v>578.22296142578125</v>
      </c>
      <c r="D52" s="50">
        <v>13.916818618774414</v>
      </c>
      <c r="E52" s="50">
        <v>25.635955810546875</v>
      </c>
      <c r="F52" s="50">
        <v>15.475864410400391</v>
      </c>
      <c r="G52" s="50">
        <v>20</v>
      </c>
      <c r="H52" s="51">
        <v>0.91525578498840332</v>
      </c>
      <c r="I52" s="50">
        <v>643</v>
      </c>
      <c r="J52" s="50">
        <v>408</v>
      </c>
      <c r="K52" s="51">
        <v>0.38820171265461467</v>
      </c>
      <c r="M52" s="52"/>
    </row>
    <row r="53" spans="2:13" x14ac:dyDescent="0.25">
      <c r="B53" s="49">
        <v>46</v>
      </c>
      <c r="C53" s="50">
        <v>556.1844482421875</v>
      </c>
      <c r="D53" s="50">
        <v>13.907290458679199</v>
      </c>
      <c r="E53" s="50">
        <v>22.907623291015625</v>
      </c>
      <c r="F53" s="50">
        <v>16.128080368041992</v>
      </c>
      <c r="G53" s="50">
        <v>20</v>
      </c>
      <c r="H53" s="51">
        <v>0.94521331787109375</v>
      </c>
      <c r="I53" s="50">
        <v>645</v>
      </c>
      <c r="J53" s="50">
        <v>408</v>
      </c>
      <c r="K53" s="51">
        <v>0.38746438746438744</v>
      </c>
    </row>
    <row r="54" spans="2:13" x14ac:dyDescent="0.25">
      <c r="B54" s="49">
        <v>47</v>
      </c>
      <c r="C54" s="50">
        <v>541.50927734375</v>
      </c>
      <c r="D54" s="50">
        <v>14.679293632507324</v>
      </c>
      <c r="E54" s="50">
        <v>25.201930999755859</v>
      </c>
      <c r="F54" s="50">
        <v>17.078128814697266</v>
      </c>
      <c r="G54" s="50">
        <v>20</v>
      </c>
      <c r="H54" s="51">
        <v>0.95919030904769897</v>
      </c>
      <c r="I54" s="50">
        <v>630</v>
      </c>
      <c r="J54" s="50">
        <v>420</v>
      </c>
      <c r="K54" s="51">
        <v>0.4</v>
      </c>
    </row>
    <row r="55" spans="2:13" x14ac:dyDescent="0.25">
      <c r="B55" s="49">
        <v>48</v>
      </c>
      <c r="C55" s="50">
        <v>553.12664794921875</v>
      </c>
      <c r="D55" s="50">
        <v>13.95521068572998</v>
      </c>
      <c r="E55" s="50">
        <v>25.148174285888672</v>
      </c>
      <c r="F55" s="50">
        <v>16.323598861694336</v>
      </c>
      <c r="G55" s="50">
        <v>20</v>
      </c>
      <c r="H55" s="51">
        <v>0.94678187370300293</v>
      </c>
      <c r="I55" s="50">
        <v>647</v>
      </c>
      <c r="J55" s="50">
        <v>426</v>
      </c>
      <c r="K55" s="51">
        <v>0.39701770736253494</v>
      </c>
    </row>
    <row r="56" spans="2:13" x14ac:dyDescent="0.25">
      <c r="B56" s="49">
        <v>49</v>
      </c>
      <c r="C56" s="50">
        <v>542.69146728515625</v>
      </c>
      <c r="D56" s="50">
        <v>14.534378051757813</v>
      </c>
      <c r="E56" s="50">
        <v>24.4134521484375</v>
      </c>
      <c r="F56" s="50">
        <v>16.845891952514648</v>
      </c>
      <c r="G56" s="50">
        <v>20</v>
      </c>
      <c r="H56" s="51">
        <v>0.96594804525375366</v>
      </c>
      <c r="I56" s="50">
        <v>629</v>
      </c>
      <c r="J56" s="50">
        <v>435</v>
      </c>
      <c r="K56" s="51">
        <v>0.40883458646616544</v>
      </c>
    </row>
    <row r="57" spans="2:13" x14ac:dyDescent="0.25">
      <c r="B57" s="49">
        <v>50</v>
      </c>
      <c r="C57" s="50">
        <v>532.73687744140625</v>
      </c>
      <c r="D57" s="50">
        <v>13.918340682983398</v>
      </c>
      <c r="E57" s="50">
        <v>23.962570190429688</v>
      </c>
      <c r="F57" s="50">
        <v>16.825216293334961</v>
      </c>
      <c r="G57" s="50">
        <v>20</v>
      </c>
      <c r="H57" s="51">
        <v>0.97155666351318359</v>
      </c>
      <c r="I57" s="50">
        <v>644</v>
      </c>
      <c r="J57" s="50">
        <v>403</v>
      </c>
      <c r="K57" s="51">
        <v>0.38490926456542501</v>
      </c>
    </row>
    <row r="58" spans="2:13" x14ac:dyDescent="0.25">
      <c r="B58" s="49">
        <v>51</v>
      </c>
      <c r="C58" s="50">
        <v>527.42572021484375</v>
      </c>
      <c r="D58" s="50">
        <v>13.211175918579102</v>
      </c>
      <c r="E58" s="50">
        <v>26.059783935546875</v>
      </c>
      <c r="F58" s="50">
        <v>16.807489395141602</v>
      </c>
      <c r="G58" s="50">
        <v>20</v>
      </c>
      <c r="H58" s="51">
        <v>0.97994238138198853</v>
      </c>
      <c r="I58" s="50">
        <v>671</v>
      </c>
      <c r="J58" s="50">
        <v>367</v>
      </c>
      <c r="K58" s="51">
        <v>0.3535645472061657</v>
      </c>
    </row>
    <row r="59" spans="2:13" x14ac:dyDescent="0.25">
      <c r="B59" s="49">
        <v>52</v>
      </c>
      <c r="C59" s="50">
        <v>550.970703125</v>
      </c>
      <c r="D59" s="50">
        <v>15.185327529907227</v>
      </c>
      <c r="E59" s="50">
        <v>33.26220703125</v>
      </c>
      <c r="F59" s="50">
        <v>16.784692764282227</v>
      </c>
      <c r="G59" s="50">
        <v>20</v>
      </c>
      <c r="H59" s="51">
        <v>0.95261138677597046</v>
      </c>
      <c r="I59" s="50">
        <v>609</v>
      </c>
      <c r="J59" s="50">
        <v>457</v>
      </c>
      <c r="K59" s="51">
        <v>0.42870544090056284</v>
      </c>
    </row>
    <row r="60" spans="2:13" x14ac:dyDescent="0.25">
      <c r="B60" s="49">
        <v>53</v>
      </c>
      <c r="C60" s="50">
        <v>545.2528076171875</v>
      </c>
      <c r="D60" s="50">
        <v>13.499340057373047</v>
      </c>
      <c r="E60" s="50">
        <v>23.593082427978516</v>
      </c>
      <c r="F60" s="50">
        <v>16.513544082641602</v>
      </c>
      <c r="G60" s="50">
        <v>20</v>
      </c>
      <c r="H60" s="51">
        <v>0.95113849639892578</v>
      </c>
      <c r="I60" s="50">
        <v>667</v>
      </c>
      <c r="J60" s="50">
        <v>437</v>
      </c>
      <c r="K60" s="51">
        <v>0.39583333333333331</v>
      </c>
    </row>
    <row r="61" spans="2:13" x14ac:dyDescent="0.25">
      <c r="B61" s="49">
        <v>54</v>
      </c>
      <c r="C61" s="50">
        <v>559.679931640625</v>
      </c>
      <c r="D61" s="50">
        <v>14.9097900390625</v>
      </c>
      <c r="E61" s="50">
        <v>29.59112548828125</v>
      </c>
      <c r="F61" s="50">
        <v>16.543346405029297</v>
      </c>
      <c r="G61" s="50">
        <v>20</v>
      </c>
      <c r="H61" s="51">
        <v>0.93689244985580444</v>
      </c>
      <c r="I61" s="50">
        <v>621</v>
      </c>
      <c r="J61" s="50">
        <v>444</v>
      </c>
      <c r="K61" s="51">
        <v>0.41690140845070423</v>
      </c>
    </row>
    <row r="62" spans="2:13" x14ac:dyDescent="0.25">
      <c r="B62" s="49">
        <v>55</v>
      </c>
      <c r="C62" s="50">
        <v>552.57403564453125</v>
      </c>
      <c r="D62" s="50">
        <v>15.206335067749023</v>
      </c>
      <c r="E62" s="50">
        <v>23.5391845703125</v>
      </c>
      <c r="F62" s="50">
        <v>17.089384078979492</v>
      </c>
      <c r="G62" s="50">
        <v>20</v>
      </c>
      <c r="H62" s="51">
        <v>0.94769841432571411</v>
      </c>
      <c r="I62" s="50">
        <v>621</v>
      </c>
      <c r="J62" s="50">
        <v>428</v>
      </c>
      <c r="K62" s="51">
        <v>0.40800762631077214</v>
      </c>
    </row>
    <row r="63" spans="2:13" x14ac:dyDescent="0.25">
      <c r="B63" s="49">
        <v>56</v>
      </c>
      <c r="C63" s="50">
        <v>547.76507568359375</v>
      </c>
      <c r="D63" s="50">
        <v>15.197135925292969</v>
      </c>
      <c r="E63" s="50">
        <v>24.8524169921875</v>
      </c>
      <c r="F63" s="50">
        <v>17.090242385864258</v>
      </c>
      <c r="G63" s="50">
        <v>20</v>
      </c>
      <c r="H63" s="51">
        <v>0.96262210607528687</v>
      </c>
      <c r="I63" s="50">
        <v>616</v>
      </c>
      <c r="J63" s="50">
        <v>414</v>
      </c>
      <c r="K63" s="51">
        <v>0.40194174757281553</v>
      </c>
    </row>
    <row r="64" spans="2:13" x14ac:dyDescent="0.25">
      <c r="B64" s="49">
        <v>57</v>
      </c>
      <c r="C64" s="50">
        <v>545.17694091796875</v>
      </c>
      <c r="D64" s="50">
        <v>14.339385032653809</v>
      </c>
      <c r="E64" s="50">
        <v>26.850906372070313</v>
      </c>
      <c r="F64" s="50">
        <v>16.465230941772461</v>
      </c>
      <c r="G64" s="50">
        <v>20</v>
      </c>
      <c r="H64" s="51">
        <v>0.96279603242874146</v>
      </c>
      <c r="I64" s="50">
        <v>626</v>
      </c>
      <c r="J64" s="50">
        <v>347</v>
      </c>
      <c r="K64" s="51">
        <v>0.35662898252826308</v>
      </c>
    </row>
    <row r="65" spans="2:13" x14ac:dyDescent="0.25">
      <c r="B65" s="49">
        <v>58</v>
      </c>
      <c r="C65" s="50">
        <v>539.55841064453125</v>
      </c>
      <c r="D65" s="50">
        <v>14.699410438537598</v>
      </c>
      <c r="E65" s="50">
        <v>23.768890380859375</v>
      </c>
      <c r="F65" s="50">
        <v>17.245061874389648</v>
      </c>
      <c r="G65" s="50">
        <v>20</v>
      </c>
      <c r="H65" s="51">
        <v>0.96485590934753418</v>
      </c>
      <c r="I65" s="50">
        <v>633</v>
      </c>
      <c r="J65" s="50">
        <v>401</v>
      </c>
      <c r="K65" s="51">
        <v>0.38781431334622823</v>
      </c>
    </row>
    <row r="66" spans="2:13" x14ac:dyDescent="0.25">
      <c r="B66" s="49">
        <v>59</v>
      </c>
      <c r="C66" s="50">
        <v>557.052490234375</v>
      </c>
      <c r="D66" s="50">
        <v>15.217951774597168</v>
      </c>
      <c r="E66" s="50">
        <v>25.928375244140625</v>
      </c>
      <c r="F66" s="50">
        <v>16.637075424194336</v>
      </c>
      <c r="G66" s="50">
        <v>20</v>
      </c>
      <c r="H66" s="51">
        <v>0.94160175323486328</v>
      </c>
      <c r="I66" s="50">
        <v>609</v>
      </c>
      <c r="J66" s="50">
        <v>425</v>
      </c>
      <c r="K66" s="51">
        <v>0.41102514506769827</v>
      </c>
    </row>
    <row r="67" spans="2:13" x14ac:dyDescent="0.25">
      <c r="B67" s="49">
        <v>60</v>
      </c>
      <c r="C67" s="50">
        <v>565.11041259765625</v>
      </c>
      <c r="D67" s="50">
        <v>14.318544387817383</v>
      </c>
      <c r="E67" s="50">
        <v>23.444061279296875</v>
      </c>
      <c r="F67" s="50">
        <v>16.064033508300781</v>
      </c>
      <c r="G67" s="50">
        <v>20</v>
      </c>
      <c r="H67" s="51">
        <v>0.91723006963729858</v>
      </c>
      <c r="I67" s="50">
        <v>634</v>
      </c>
      <c r="J67" s="50">
        <v>412</v>
      </c>
      <c r="K67" s="51">
        <v>0.39388145315487572</v>
      </c>
    </row>
    <row r="68" spans="2:13" x14ac:dyDescent="0.25">
      <c r="B68" s="49">
        <v>61</v>
      </c>
      <c r="C68" s="50">
        <v>541.30462646484375</v>
      </c>
      <c r="D68" s="50">
        <v>16.228361129760742</v>
      </c>
      <c r="E68" s="50">
        <v>26.791591644287109</v>
      </c>
      <c r="F68" s="50">
        <v>17.448415756225586</v>
      </c>
      <c r="G68" s="50">
        <v>20</v>
      </c>
      <c r="H68" s="51">
        <v>0.96664214134216309</v>
      </c>
      <c r="I68" s="50">
        <v>582</v>
      </c>
      <c r="J68" s="50">
        <v>513</v>
      </c>
      <c r="K68" s="51">
        <v>0.46849315068493153</v>
      </c>
      <c r="M68" s="52"/>
    </row>
    <row r="69" spans="2:13" x14ac:dyDescent="0.25">
      <c r="B69" s="49">
        <v>62</v>
      </c>
      <c r="C69" s="50">
        <v>559.341552734375</v>
      </c>
      <c r="D69" s="50">
        <v>14.819215774536133</v>
      </c>
      <c r="E69" s="50">
        <v>29.418502807617188</v>
      </c>
      <c r="F69" s="50">
        <v>16.638259887695313</v>
      </c>
      <c r="G69" s="50">
        <v>20</v>
      </c>
      <c r="H69" s="51">
        <v>0.95451050996780396</v>
      </c>
      <c r="I69" s="50">
        <v>628</v>
      </c>
      <c r="J69" s="50">
        <v>400</v>
      </c>
      <c r="K69" s="51">
        <v>0.38910505836575876</v>
      </c>
    </row>
    <row r="70" spans="2:13" x14ac:dyDescent="0.25">
      <c r="B70" s="49">
        <v>63</v>
      </c>
      <c r="C70" s="50">
        <v>529.61962890625</v>
      </c>
      <c r="D70" s="50">
        <v>15.536434173583984</v>
      </c>
      <c r="E70" s="50">
        <v>24.6116943359375</v>
      </c>
      <c r="F70" s="50">
        <v>17.865077972412109</v>
      </c>
      <c r="G70" s="50">
        <v>20</v>
      </c>
      <c r="H70" s="51">
        <v>0.9842333197593689</v>
      </c>
      <c r="I70" s="50">
        <v>609</v>
      </c>
      <c r="J70" s="50">
        <v>474</v>
      </c>
      <c r="K70" s="51">
        <v>0.4376731301939058</v>
      </c>
    </row>
    <row r="71" spans="2:13" x14ac:dyDescent="0.25">
      <c r="B71" s="49">
        <v>64</v>
      </c>
      <c r="C71" s="50">
        <v>545.1448974609375</v>
      </c>
      <c r="D71" s="50">
        <v>15.188083648681641</v>
      </c>
      <c r="E71" s="50">
        <v>28.684539794921875</v>
      </c>
      <c r="F71" s="50">
        <v>16.688516616821289</v>
      </c>
      <c r="G71" s="50">
        <v>20</v>
      </c>
      <c r="H71" s="51">
        <v>0.95269107818603516</v>
      </c>
      <c r="I71" s="50">
        <v>599</v>
      </c>
      <c r="J71" s="50">
        <v>419</v>
      </c>
      <c r="K71" s="51">
        <v>0.41159135559921417</v>
      </c>
    </row>
    <row r="72" spans="2:13" x14ac:dyDescent="0.25">
      <c r="B72" s="49">
        <v>65</v>
      </c>
      <c r="C72" s="50">
        <v>538.9310302734375</v>
      </c>
      <c r="D72" s="50">
        <v>14.398427963256836</v>
      </c>
      <c r="E72" s="50">
        <v>25.005889892578125</v>
      </c>
      <c r="F72" s="50">
        <v>17.23222541809082</v>
      </c>
      <c r="G72" s="50">
        <v>20</v>
      </c>
      <c r="H72" s="51">
        <v>0.96122831106185913</v>
      </c>
      <c r="I72" s="50">
        <v>645</v>
      </c>
      <c r="J72" s="50">
        <v>445</v>
      </c>
      <c r="K72" s="51">
        <v>0.40825688073394495</v>
      </c>
    </row>
    <row r="73" spans="2:13" x14ac:dyDescent="0.25">
      <c r="B73" s="49">
        <v>66</v>
      </c>
      <c r="C73" s="50">
        <v>549.56951904296875</v>
      </c>
      <c r="D73" s="50">
        <v>15.423395156860352</v>
      </c>
      <c r="E73" s="50">
        <v>27.958953857421875</v>
      </c>
      <c r="F73" s="50">
        <v>16.698375701904297</v>
      </c>
      <c r="G73" s="50">
        <v>20</v>
      </c>
      <c r="H73" s="51">
        <v>0.95776307582855225</v>
      </c>
      <c r="I73" s="50">
        <v>595</v>
      </c>
      <c r="J73" s="50">
        <v>418</v>
      </c>
      <c r="K73" s="51">
        <v>0.41263573543928922</v>
      </c>
    </row>
    <row r="74" spans="2:13" x14ac:dyDescent="0.25">
      <c r="B74" s="49">
        <v>67</v>
      </c>
      <c r="C74" s="50">
        <v>551.09185791015625</v>
      </c>
      <c r="D74" s="50">
        <v>13.361233711242676</v>
      </c>
      <c r="E74" s="50">
        <v>27.705963134765625</v>
      </c>
      <c r="F74" s="50">
        <v>15.565305709838867</v>
      </c>
      <c r="G74" s="50">
        <v>20</v>
      </c>
      <c r="H74" s="51">
        <v>0.95320504903793335</v>
      </c>
      <c r="I74" s="50">
        <v>642</v>
      </c>
      <c r="J74" s="50">
        <v>379</v>
      </c>
      <c r="K74" s="51">
        <v>0.37120470127326149</v>
      </c>
    </row>
    <row r="75" spans="2:13" x14ac:dyDescent="0.25">
      <c r="B75" s="49">
        <v>68</v>
      </c>
      <c r="C75" s="50">
        <v>541.0367431640625</v>
      </c>
      <c r="D75" s="50">
        <v>13.666370391845703</v>
      </c>
      <c r="E75" s="50">
        <v>26.101226806640625</v>
      </c>
      <c r="F75" s="50">
        <v>16.34295654296875</v>
      </c>
      <c r="G75" s="50">
        <v>20</v>
      </c>
      <c r="H75" s="51">
        <v>0.96737861633300781</v>
      </c>
      <c r="I75" s="50">
        <v>647</v>
      </c>
      <c r="J75" s="50">
        <v>387</v>
      </c>
      <c r="K75" s="51">
        <v>0.37427466150870409</v>
      </c>
    </row>
    <row r="76" spans="2:13" x14ac:dyDescent="0.25">
      <c r="B76" s="49">
        <v>69</v>
      </c>
      <c r="C76" s="50">
        <v>533.029296875</v>
      </c>
      <c r="D76" s="50">
        <v>13.221563339233398</v>
      </c>
      <c r="E76" s="50">
        <v>23.930023193359375</v>
      </c>
      <c r="F76" s="50">
        <v>16.296606063842773</v>
      </c>
      <c r="G76" s="50">
        <v>20</v>
      </c>
      <c r="H76" s="51">
        <v>0.96554356813430786</v>
      </c>
      <c r="I76" s="50">
        <v>657</v>
      </c>
      <c r="J76" s="50">
        <v>355</v>
      </c>
      <c r="K76" s="51">
        <v>0.35079051383399207</v>
      </c>
    </row>
    <row r="77" spans="2:13" x14ac:dyDescent="0.25">
      <c r="B77" s="49">
        <v>70</v>
      </c>
      <c r="C77" s="50">
        <v>543.41552734375</v>
      </c>
      <c r="D77" s="50">
        <v>14.398215293884277</v>
      </c>
      <c r="E77" s="50">
        <v>28.232498168945313</v>
      </c>
      <c r="F77" s="50">
        <v>16.400882720947266</v>
      </c>
      <c r="G77" s="50">
        <v>20</v>
      </c>
      <c r="H77" s="51">
        <v>0.95544523000717163</v>
      </c>
      <c r="I77" s="50">
        <v>619</v>
      </c>
      <c r="J77" s="50">
        <v>404</v>
      </c>
      <c r="K77" s="51">
        <v>0.39491691104594329</v>
      </c>
    </row>
    <row r="78" spans="2:13" x14ac:dyDescent="0.25">
      <c r="B78" s="49">
        <v>71</v>
      </c>
      <c r="C78" s="50">
        <v>532.150146484375</v>
      </c>
      <c r="D78" s="50">
        <v>14.443020820617676</v>
      </c>
      <c r="E78" s="50">
        <v>26.9864501953125</v>
      </c>
      <c r="F78" s="50">
        <v>16.691646575927734</v>
      </c>
      <c r="G78" s="50">
        <v>20</v>
      </c>
      <c r="H78" s="51">
        <v>0.96617317199707031</v>
      </c>
      <c r="I78" s="50">
        <v>615</v>
      </c>
      <c r="J78" s="50">
        <v>394</v>
      </c>
      <c r="K78" s="51">
        <v>0.39048562933597619</v>
      </c>
    </row>
    <row r="79" spans="2:13" x14ac:dyDescent="0.25">
      <c r="B79" s="49">
        <v>72</v>
      </c>
      <c r="C79" s="50">
        <v>535.737060546875</v>
      </c>
      <c r="D79" s="50">
        <v>14.084505081176758</v>
      </c>
      <c r="E79" s="50">
        <v>26.067916870117188</v>
      </c>
      <c r="F79" s="50">
        <v>16.799285888671875</v>
      </c>
      <c r="G79" s="50">
        <v>20</v>
      </c>
      <c r="H79" s="51">
        <v>0.95911121368408203</v>
      </c>
      <c r="I79" s="50">
        <v>639</v>
      </c>
      <c r="J79" s="50">
        <v>416</v>
      </c>
      <c r="K79" s="51">
        <v>0.39431279620853082</v>
      </c>
    </row>
    <row r="80" spans="2:13" x14ac:dyDescent="0.25">
      <c r="B80" s="49">
        <v>73</v>
      </c>
      <c r="C80" s="50">
        <v>523.7755126953125</v>
      </c>
      <c r="D80" s="50">
        <v>14.536009788513184</v>
      </c>
      <c r="E80" s="50">
        <v>29.6824951171875</v>
      </c>
      <c r="F80" s="50">
        <v>17.400774002075195</v>
      </c>
      <c r="G80" s="50">
        <v>20</v>
      </c>
      <c r="H80" s="51">
        <v>0.98065418004989624</v>
      </c>
      <c r="I80" s="50">
        <v>627</v>
      </c>
      <c r="J80" s="50">
        <v>383</v>
      </c>
      <c r="K80" s="51">
        <v>0.37920792079207921</v>
      </c>
    </row>
    <row r="81" spans="2:13" x14ac:dyDescent="0.25">
      <c r="B81" s="49">
        <v>74</v>
      </c>
      <c r="C81" s="50">
        <v>556.4669189453125</v>
      </c>
      <c r="D81" s="50">
        <v>14.038639068603516</v>
      </c>
      <c r="E81" s="50">
        <v>24.708892822265625</v>
      </c>
      <c r="F81" s="50">
        <v>16.574911117553711</v>
      </c>
      <c r="G81" s="50">
        <v>20</v>
      </c>
      <c r="H81" s="51">
        <v>0.94110512733459473</v>
      </c>
      <c r="I81" s="50">
        <v>657</v>
      </c>
      <c r="J81" s="50">
        <v>411</v>
      </c>
      <c r="K81" s="51">
        <v>0.3848314606741573</v>
      </c>
    </row>
    <row r="82" spans="2:13" x14ac:dyDescent="0.25">
      <c r="B82" s="49">
        <v>75</v>
      </c>
      <c r="C82" s="50">
        <v>543.7366943359375</v>
      </c>
      <c r="D82" s="50">
        <v>13.243426322937012</v>
      </c>
      <c r="E82" s="50">
        <v>25.846527099609375</v>
      </c>
      <c r="F82" s="50">
        <v>16.440525054931641</v>
      </c>
      <c r="G82" s="50">
        <v>20</v>
      </c>
      <c r="H82" s="51">
        <v>0.95596373081207275</v>
      </c>
      <c r="I82" s="50">
        <v>675</v>
      </c>
      <c r="J82" s="50">
        <v>334</v>
      </c>
      <c r="K82" s="51">
        <v>0.33102081268582756</v>
      </c>
    </row>
    <row r="83" spans="2:13" x14ac:dyDescent="0.25">
      <c r="B83" s="49">
        <v>76</v>
      </c>
      <c r="C83" s="50">
        <v>531.503662109375</v>
      </c>
      <c r="D83" s="50">
        <v>14.524591445922852</v>
      </c>
      <c r="E83" s="50">
        <v>24.699951171875</v>
      </c>
      <c r="F83" s="50">
        <v>17.134237289428711</v>
      </c>
      <c r="G83" s="50">
        <v>20</v>
      </c>
      <c r="H83" s="51">
        <v>0.96722626686096191</v>
      </c>
      <c r="I83" s="50">
        <v>627</v>
      </c>
      <c r="J83" s="50">
        <v>429</v>
      </c>
      <c r="K83" s="51">
        <v>0.40625</v>
      </c>
    </row>
    <row r="84" spans="2:13" x14ac:dyDescent="0.25">
      <c r="B84" s="49">
        <v>77</v>
      </c>
      <c r="C84" s="50">
        <v>536.75286865234375</v>
      </c>
      <c r="D84" s="50">
        <v>14.001240730285645</v>
      </c>
      <c r="E84" s="50">
        <v>27.086318969726563</v>
      </c>
      <c r="F84" s="50">
        <v>16.590087890625</v>
      </c>
      <c r="G84" s="50">
        <v>20</v>
      </c>
      <c r="H84" s="51">
        <v>0.97412967681884766</v>
      </c>
      <c r="I84" s="50">
        <v>636</v>
      </c>
      <c r="J84" s="50">
        <v>413</v>
      </c>
      <c r="K84" s="51">
        <v>0.39370829361296472</v>
      </c>
      <c r="M84" s="52"/>
    </row>
    <row r="85" spans="2:13" x14ac:dyDescent="0.25">
      <c r="B85" s="49">
        <v>78</v>
      </c>
      <c r="C85" s="50">
        <v>545.73199462890625</v>
      </c>
      <c r="D85" s="50">
        <v>15.069580078125</v>
      </c>
      <c r="E85" s="50">
        <v>30.03955078125</v>
      </c>
      <c r="F85" s="50">
        <v>16.816648483276367</v>
      </c>
      <c r="G85" s="50">
        <v>20</v>
      </c>
      <c r="H85" s="51">
        <v>0.94510501623153687</v>
      </c>
      <c r="I85" s="50">
        <v>609</v>
      </c>
      <c r="J85" s="50">
        <v>463</v>
      </c>
      <c r="K85" s="51">
        <v>0.43190298507462688</v>
      </c>
    </row>
    <row r="86" spans="2:13" x14ac:dyDescent="0.25">
      <c r="B86" s="49">
        <v>79</v>
      </c>
      <c r="C86" s="50">
        <v>528.09442138671875</v>
      </c>
      <c r="D86" s="50">
        <v>14.873077392578125</v>
      </c>
      <c r="E86" s="50">
        <v>25.367156982421875</v>
      </c>
      <c r="F86" s="50">
        <v>17.34881591796875</v>
      </c>
      <c r="G86" s="50">
        <v>20</v>
      </c>
      <c r="H86" s="51">
        <v>0.97805327177047729</v>
      </c>
      <c r="I86" s="50">
        <v>616</v>
      </c>
      <c r="J86" s="50">
        <v>425</v>
      </c>
      <c r="K86" s="51">
        <v>0.40826128722382327</v>
      </c>
    </row>
    <row r="87" spans="2:13" x14ac:dyDescent="0.25">
      <c r="B87" s="49">
        <v>80</v>
      </c>
      <c r="C87" s="50">
        <v>537.5904541015625</v>
      </c>
      <c r="D87" s="50">
        <v>15.240313529968262</v>
      </c>
      <c r="E87" s="50">
        <v>24.30865478515625</v>
      </c>
      <c r="F87" s="50">
        <v>17.519847869873047</v>
      </c>
      <c r="G87" s="50">
        <v>20</v>
      </c>
      <c r="H87" s="51">
        <v>0.96956926584243774</v>
      </c>
      <c r="I87" s="50">
        <v>618</v>
      </c>
      <c r="J87" s="50">
        <v>487</v>
      </c>
      <c r="K87" s="51">
        <v>0.44072398190045248</v>
      </c>
    </row>
    <row r="88" spans="2:13" x14ac:dyDescent="0.25">
      <c r="B88" s="49">
        <v>81</v>
      </c>
      <c r="C88" s="50">
        <v>539.11053466796875</v>
      </c>
      <c r="D88" s="50">
        <v>15.460152626037598</v>
      </c>
      <c r="E88" s="50">
        <v>31.015884399414063</v>
      </c>
      <c r="F88" s="50">
        <v>17.120244979858398</v>
      </c>
      <c r="G88" s="50">
        <v>20</v>
      </c>
      <c r="H88" s="51">
        <v>0.96354943513870239</v>
      </c>
      <c r="I88" s="50">
        <v>597</v>
      </c>
      <c r="J88" s="50">
        <v>435</v>
      </c>
      <c r="K88" s="51">
        <v>0.42151162790697677</v>
      </c>
    </row>
    <row r="89" spans="2:13" x14ac:dyDescent="0.25">
      <c r="B89" s="49">
        <v>82</v>
      </c>
      <c r="C89" s="50">
        <v>535.73443603515625</v>
      </c>
      <c r="D89" s="50">
        <v>12.942656517028809</v>
      </c>
      <c r="E89" s="50">
        <v>23.5286865234375</v>
      </c>
      <c r="F89" s="50">
        <v>16.452098846435547</v>
      </c>
      <c r="G89" s="50">
        <v>20</v>
      </c>
      <c r="H89" s="51">
        <v>0.97000575065612793</v>
      </c>
      <c r="I89" s="50">
        <v>681</v>
      </c>
      <c r="J89" s="50">
        <v>351</v>
      </c>
      <c r="K89" s="51">
        <v>0.34011627906976744</v>
      </c>
    </row>
    <row r="90" spans="2:13" x14ac:dyDescent="0.25">
      <c r="B90" s="49">
        <v>83</v>
      </c>
      <c r="C90" s="50">
        <v>534.362548828125</v>
      </c>
      <c r="D90" s="50">
        <v>14.484190940856934</v>
      </c>
      <c r="E90" s="50">
        <v>27.561225891113281</v>
      </c>
      <c r="F90" s="50">
        <v>16.968101501464844</v>
      </c>
      <c r="G90" s="50">
        <v>20</v>
      </c>
      <c r="H90" s="51">
        <v>0.97290331125259399</v>
      </c>
      <c r="I90" s="50">
        <v>626</v>
      </c>
      <c r="J90" s="50">
        <v>412</v>
      </c>
      <c r="K90" s="51">
        <v>0.39691714836223507</v>
      </c>
    </row>
    <row r="91" spans="2:13" x14ac:dyDescent="0.25">
      <c r="B91" s="49">
        <v>84</v>
      </c>
      <c r="C91" s="50">
        <v>522.6842041015625</v>
      </c>
      <c r="D91" s="50">
        <v>14.444982528686523</v>
      </c>
      <c r="E91" s="50">
        <v>27.1444091796875</v>
      </c>
      <c r="F91" s="50">
        <v>17.244956970214844</v>
      </c>
      <c r="G91" s="50">
        <v>20</v>
      </c>
      <c r="H91" s="51">
        <v>0.98360103368759155</v>
      </c>
      <c r="I91" s="50">
        <v>624</v>
      </c>
      <c r="J91" s="50">
        <v>374</v>
      </c>
      <c r="K91" s="51">
        <v>0.37474949899799598</v>
      </c>
    </row>
    <row r="92" spans="2:13" x14ac:dyDescent="0.25">
      <c r="B92" s="49">
        <v>85</v>
      </c>
      <c r="C92" s="50">
        <v>536.67462158203125</v>
      </c>
      <c r="D92" s="50">
        <v>15.347677230834961</v>
      </c>
      <c r="E92" s="50">
        <v>26.97979736328125</v>
      </c>
      <c r="F92" s="50">
        <v>17.30162239074707</v>
      </c>
      <c r="G92" s="50">
        <v>20</v>
      </c>
      <c r="H92" s="51">
        <v>0.97124785184860229</v>
      </c>
      <c r="I92" s="50">
        <v>605</v>
      </c>
      <c r="J92" s="50">
        <v>467</v>
      </c>
      <c r="K92" s="51">
        <v>0.43563432835820898</v>
      </c>
    </row>
    <row r="93" spans="2:13" x14ac:dyDescent="0.25">
      <c r="B93" s="49">
        <v>86</v>
      </c>
      <c r="C93" s="50">
        <v>541.37603759765625</v>
      </c>
      <c r="D93" s="50">
        <v>15.702832221984863</v>
      </c>
      <c r="E93" s="50">
        <v>30.5435791015625</v>
      </c>
      <c r="F93" s="50">
        <v>17.142196655273438</v>
      </c>
      <c r="G93" s="50">
        <v>20</v>
      </c>
      <c r="H93" s="51">
        <v>0.96831929683685303</v>
      </c>
      <c r="I93" s="50">
        <v>591</v>
      </c>
      <c r="J93" s="50">
        <v>484</v>
      </c>
      <c r="K93" s="51">
        <v>0.45023255813953489</v>
      </c>
    </row>
    <row r="94" spans="2:13" x14ac:dyDescent="0.25">
      <c r="B94" s="49">
        <v>87</v>
      </c>
      <c r="C94" s="50">
        <v>530.09112548828125</v>
      </c>
      <c r="D94" s="50">
        <v>15.212374687194824</v>
      </c>
      <c r="E94" s="50">
        <v>28.56103515625</v>
      </c>
      <c r="F94" s="50">
        <v>17.534269332885742</v>
      </c>
      <c r="G94" s="50">
        <v>20</v>
      </c>
      <c r="H94" s="51">
        <v>0.97634690999984741</v>
      </c>
      <c r="I94" s="50">
        <v>611</v>
      </c>
      <c r="J94" s="50">
        <v>439</v>
      </c>
      <c r="K94" s="51">
        <v>0.41809523809523808</v>
      </c>
    </row>
    <row r="95" spans="2:13" x14ac:dyDescent="0.25">
      <c r="B95" s="49">
        <v>88</v>
      </c>
      <c r="C95" s="50">
        <v>543.31024169921875</v>
      </c>
      <c r="D95" s="50">
        <v>15.403005599975586</v>
      </c>
      <c r="E95" s="50">
        <v>30.22796630859375</v>
      </c>
      <c r="F95" s="50">
        <v>16.72667121887207</v>
      </c>
      <c r="G95" s="50">
        <v>20</v>
      </c>
      <c r="H95" s="51">
        <v>0.96206468343734741</v>
      </c>
      <c r="I95" s="50">
        <v>590</v>
      </c>
      <c r="J95" s="50">
        <v>457</v>
      </c>
      <c r="K95" s="51">
        <v>0.43648519579751671</v>
      </c>
    </row>
    <row r="96" spans="2:13" x14ac:dyDescent="0.25">
      <c r="B96" s="49">
        <v>89</v>
      </c>
      <c r="C96" s="50">
        <v>543.9293212890625</v>
      </c>
      <c r="D96" s="50">
        <v>14.697813987731934</v>
      </c>
      <c r="E96" s="50">
        <v>24.6602783203125</v>
      </c>
      <c r="F96" s="50">
        <v>16.807401657104492</v>
      </c>
      <c r="G96" s="50">
        <v>20</v>
      </c>
      <c r="H96" s="51">
        <v>0.97033804655075073</v>
      </c>
      <c r="I96" s="50">
        <v>622</v>
      </c>
      <c r="J96" s="50">
        <v>452</v>
      </c>
      <c r="K96" s="51">
        <v>0.42085661080074488</v>
      </c>
    </row>
    <row r="97" spans="1:13" x14ac:dyDescent="0.25">
      <c r="B97" s="49">
        <v>90</v>
      </c>
      <c r="C97" s="50">
        <v>548.00714111328125</v>
      </c>
      <c r="D97" s="50">
        <v>14.19682502746582</v>
      </c>
      <c r="E97" s="50">
        <v>25.391220092773438</v>
      </c>
      <c r="F97" s="50">
        <v>16.605924606323242</v>
      </c>
      <c r="G97" s="50">
        <v>20</v>
      </c>
      <c r="H97" s="51">
        <v>0.95909953117370605</v>
      </c>
      <c r="I97" s="50">
        <v>641</v>
      </c>
      <c r="J97" s="50">
        <v>398</v>
      </c>
      <c r="K97" s="51">
        <v>0.383060635226179</v>
      </c>
    </row>
    <row r="98" spans="1:13" x14ac:dyDescent="0.25">
      <c r="B98" s="49">
        <v>91</v>
      </c>
      <c r="C98" s="50">
        <v>557.786865234375</v>
      </c>
      <c r="D98" s="50">
        <v>15.570083618164063</v>
      </c>
      <c r="E98" s="50">
        <v>28.144126892089844</v>
      </c>
      <c r="F98" s="50">
        <v>16.580957412719727</v>
      </c>
      <c r="G98" s="50">
        <v>20</v>
      </c>
      <c r="H98" s="51">
        <v>0.93949228525161743</v>
      </c>
      <c r="I98" s="50">
        <v>594</v>
      </c>
      <c r="J98" s="50">
        <v>485</v>
      </c>
      <c r="K98" s="51">
        <v>0.44949026876737719</v>
      </c>
    </row>
    <row r="99" spans="1:13" x14ac:dyDescent="0.25">
      <c r="B99" s="49">
        <v>92</v>
      </c>
      <c r="C99" s="50">
        <v>550.47088623046875</v>
      </c>
      <c r="D99" s="50">
        <v>13.858796119689941</v>
      </c>
      <c r="E99" s="50">
        <v>27.158111572265625</v>
      </c>
      <c r="F99" s="50">
        <v>16.51561164855957</v>
      </c>
      <c r="G99" s="50">
        <v>20</v>
      </c>
      <c r="H99" s="51">
        <v>0.94495618343353271</v>
      </c>
      <c r="I99" s="50">
        <v>656</v>
      </c>
      <c r="J99" s="50">
        <v>369</v>
      </c>
      <c r="K99" s="51">
        <v>0.36</v>
      </c>
    </row>
    <row r="100" spans="1:13" x14ac:dyDescent="0.25">
      <c r="B100" s="49">
        <v>93</v>
      </c>
      <c r="C100" s="50">
        <v>538.29461669921875</v>
      </c>
      <c r="D100" s="50">
        <v>15.107954978942871</v>
      </c>
      <c r="E100" s="50">
        <v>26.8372802734375</v>
      </c>
      <c r="F100" s="50">
        <v>17.064319610595703</v>
      </c>
      <c r="G100" s="50">
        <v>20</v>
      </c>
      <c r="H100" s="51">
        <v>0.96951764822006226</v>
      </c>
      <c r="I100" s="50">
        <v>608</v>
      </c>
      <c r="J100" s="50">
        <v>405</v>
      </c>
      <c r="K100" s="51">
        <v>0.39980256663376113</v>
      </c>
      <c r="M100" s="52"/>
    </row>
    <row r="101" spans="1:13" x14ac:dyDescent="0.25">
      <c r="B101" s="49">
        <v>94</v>
      </c>
      <c r="C101" s="50">
        <v>566.72003173828125</v>
      </c>
      <c r="D101" s="50">
        <v>15.348494529724121</v>
      </c>
      <c r="E101" s="50">
        <v>25.724784851074219</v>
      </c>
      <c r="F101" s="50">
        <v>16.412300109863281</v>
      </c>
      <c r="G101" s="50">
        <v>20</v>
      </c>
      <c r="H101" s="51">
        <v>0.93612533807754517</v>
      </c>
      <c r="I101" s="50">
        <v>606</v>
      </c>
      <c r="J101" s="50">
        <v>442</v>
      </c>
      <c r="K101" s="51">
        <v>0.4217557251908397</v>
      </c>
    </row>
    <row r="102" spans="1:13" x14ac:dyDescent="0.25">
      <c r="B102" s="49">
        <v>95</v>
      </c>
      <c r="C102" s="50">
        <v>533.90362548828125</v>
      </c>
      <c r="D102" s="50">
        <v>15.047433853149414</v>
      </c>
      <c r="E102" s="50">
        <v>29.63287353515625</v>
      </c>
      <c r="F102" s="50">
        <v>17.135763168334961</v>
      </c>
      <c r="G102" s="50">
        <v>20</v>
      </c>
      <c r="H102" s="51">
        <v>0.95937579870223999</v>
      </c>
      <c r="I102" s="50">
        <v>608</v>
      </c>
      <c r="J102" s="50">
        <v>390</v>
      </c>
      <c r="K102" s="51">
        <v>0.39078156312625251</v>
      </c>
    </row>
    <row r="103" spans="1:13" x14ac:dyDescent="0.25">
      <c r="B103" s="49">
        <v>96</v>
      </c>
      <c r="C103" s="50">
        <v>536.83380126953125</v>
      </c>
      <c r="D103" s="50">
        <v>14.564199447631836</v>
      </c>
      <c r="E103" s="50">
        <v>27.131591796875</v>
      </c>
      <c r="F103" s="50">
        <v>16.793340682983398</v>
      </c>
      <c r="G103" s="50">
        <v>20</v>
      </c>
      <c r="H103" s="51">
        <v>0.9652286171913147</v>
      </c>
      <c r="I103" s="50">
        <v>619</v>
      </c>
      <c r="J103" s="50">
        <v>419</v>
      </c>
      <c r="K103" s="51">
        <v>0.40366088631984587</v>
      </c>
    </row>
    <row r="104" spans="1:13" x14ac:dyDescent="0.25">
      <c r="B104" s="49">
        <v>97</v>
      </c>
      <c r="C104" s="50">
        <v>553.9403076171875</v>
      </c>
      <c r="D104" s="50">
        <v>15.626649856567383</v>
      </c>
      <c r="E104" s="50">
        <v>26.818405151367188</v>
      </c>
      <c r="F104" s="50">
        <v>17.010608673095703</v>
      </c>
      <c r="G104" s="50">
        <v>20</v>
      </c>
      <c r="H104" s="51">
        <v>0.95155900716781616</v>
      </c>
      <c r="I104" s="50">
        <v>603</v>
      </c>
      <c r="J104" s="50">
        <v>481</v>
      </c>
      <c r="K104" s="51">
        <v>0.44372693726937268</v>
      </c>
    </row>
    <row r="105" spans="1:13" x14ac:dyDescent="0.25">
      <c r="B105" s="49">
        <v>98</v>
      </c>
      <c r="C105" s="50">
        <v>547.15081787109375</v>
      </c>
      <c r="D105" s="50">
        <v>15.23820972442627</v>
      </c>
      <c r="E105" s="50">
        <v>25.6015625</v>
      </c>
      <c r="F105" s="50">
        <v>17.072124481201172</v>
      </c>
      <c r="G105" s="50">
        <v>20</v>
      </c>
      <c r="H105" s="51">
        <v>0.95129352807998657</v>
      </c>
      <c r="I105" s="50">
        <v>613</v>
      </c>
      <c r="J105" s="50">
        <v>427</v>
      </c>
      <c r="K105" s="51">
        <v>0.41057692307692306</v>
      </c>
    </row>
    <row r="106" spans="1:13" x14ac:dyDescent="0.25">
      <c r="B106" s="49">
        <v>99</v>
      </c>
      <c r="C106" s="50">
        <v>541.5152587890625</v>
      </c>
      <c r="D106" s="50">
        <v>14.140101432800293</v>
      </c>
      <c r="E106" s="50">
        <v>27.85528564453125</v>
      </c>
      <c r="F106" s="50">
        <v>16.946756362915039</v>
      </c>
      <c r="G106" s="50">
        <v>20</v>
      </c>
      <c r="H106" s="51">
        <v>0.95014268159866333</v>
      </c>
      <c r="I106" s="50">
        <v>649</v>
      </c>
      <c r="J106" s="50">
        <v>372</v>
      </c>
      <c r="K106" s="51">
        <v>0.36434867776689522</v>
      </c>
    </row>
    <row r="107" spans="1:13" x14ac:dyDescent="0.25">
      <c r="B107" s="49">
        <v>100</v>
      </c>
      <c r="C107" s="50">
        <v>546.96453857421875</v>
      </c>
      <c r="D107" s="50">
        <v>14.476812362670898</v>
      </c>
      <c r="E107" s="50">
        <v>27.194877624511719</v>
      </c>
      <c r="F107" s="50">
        <v>16.118745803833008</v>
      </c>
      <c r="G107" s="50">
        <v>20</v>
      </c>
      <c r="H107" s="51">
        <v>0.9549945592880249</v>
      </c>
      <c r="I107" s="50">
        <v>609</v>
      </c>
      <c r="J107" s="50">
        <v>410</v>
      </c>
      <c r="K107" s="51">
        <v>0.40235525024533858</v>
      </c>
    </row>
    <row r="108" spans="1:13" x14ac:dyDescent="0.25">
      <c r="B108" s="49"/>
      <c r="C108" s="52"/>
      <c r="D108" s="52"/>
      <c r="E108" s="52"/>
      <c r="F108" s="52"/>
      <c r="G108" s="52"/>
      <c r="H108" s="52"/>
      <c r="I108" s="52"/>
      <c r="J108" s="52"/>
      <c r="K108" s="52"/>
    </row>
    <row r="109" spans="1:13" x14ac:dyDescent="0.25">
      <c r="B109" s="53"/>
      <c r="C109" s="54"/>
      <c r="D109" s="54"/>
      <c r="E109" s="54"/>
      <c r="F109" s="54"/>
      <c r="G109" s="54"/>
      <c r="H109" s="55"/>
      <c r="I109" s="54"/>
      <c r="J109" s="54"/>
      <c r="K109" s="55"/>
    </row>
    <row r="110" spans="1:13" x14ac:dyDescent="0.25">
      <c r="B110" s="90" t="s">
        <v>50</v>
      </c>
      <c r="C110" s="90"/>
      <c r="D110" s="90"/>
      <c r="E110" s="90"/>
      <c r="F110" s="90"/>
      <c r="G110" s="90"/>
      <c r="H110" s="90"/>
      <c r="I110" s="90"/>
      <c r="J110" s="90"/>
      <c r="K110" s="90"/>
    </row>
    <row r="111" spans="1:13" x14ac:dyDescent="0.25">
      <c r="A111" s="56"/>
      <c r="B111" s="63"/>
      <c r="C111" s="64">
        <v>1</v>
      </c>
      <c r="D111" s="64">
        <v>2</v>
      </c>
      <c r="E111" s="64">
        <v>3</v>
      </c>
      <c r="F111" s="64">
        <v>4</v>
      </c>
      <c r="G111" s="64">
        <v>5</v>
      </c>
      <c r="H111" s="64">
        <v>6</v>
      </c>
      <c r="I111" s="64">
        <v>7</v>
      </c>
      <c r="J111" s="64">
        <v>8</v>
      </c>
      <c r="K111" s="64">
        <v>9</v>
      </c>
    </row>
    <row r="112" spans="1:13" x14ac:dyDescent="0.25">
      <c r="B112" s="69">
        <v>1</v>
      </c>
      <c r="C112" s="67">
        <v>1</v>
      </c>
      <c r="D112" s="63"/>
      <c r="E112" s="63"/>
      <c r="F112" s="63"/>
      <c r="G112" s="63"/>
      <c r="H112" s="63"/>
      <c r="I112" s="63"/>
      <c r="J112" s="63"/>
      <c r="K112" s="63"/>
    </row>
    <row r="113" spans="2:13" x14ac:dyDescent="0.25">
      <c r="B113" s="64">
        <v>2</v>
      </c>
      <c r="C113" s="63">
        <f>CORREL(C8:C107,D8:D107)</f>
        <v>3.6355569931441671E-2</v>
      </c>
      <c r="D113" s="67">
        <v>1</v>
      </c>
      <c r="E113" s="63"/>
      <c r="F113" s="65"/>
      <c r="G113" s="63"/>
      <c r="H113" s="63"/>
      <c r="I113" s="63"/>
      <c r="J113" s="63"/>
      <c r="K113" s="63"/>
    </row>
    <row r="114" spans="2:13" x14ac:dyDescent="0.25">
      <c r="B114" s="69">
        <v>3</v>
      </c>
      <c r="C114" s="63">
        <f>CORREL(C8:C107,E8:E107)</f>
        <v>9.6697809565425077E-3</v>
      </c>
      <c r="D114" s="63">
        <f>CORREL(D8:D107,E8:E107)</f>
        <v>0.25671451064328149</v>
      </c>
      <c r="E114" s="67">
        <v>1</v>
      </c>
      <c r="F114" s="63"/>
      <c r="G114" s="63"/>
      <c r="H114" s="63"/>
      <c r="I114" s="63"/>
      <c r="J114" s="63"/>
      <c r="K114" s="63"/>
    </row>
    <row r="115" spans="2:13" x14ac:dyDescent="0.25">
      <c r="B115" s="64">
        <v>4</v>
      </c>
      <c r="C115" s="63">
        <f>CORREL(C8:C107,F8:F107)</f>
        <v>-0.62318731416879547</v>
      </c>
      <c r="D115" s="63">
        <f>CORREL(D8:D107,F8:F107)</f>
        <v>0.59489183235057619</v>
      </c>
      <c r="E115" s="63">
        <f>CORREL(E8:E107,F8:F107)</f>
        <v>2.607840023188986E-2</v>
      </c>
      <c r="F115" s="67">
        <v>1</v>
      </c>
      <c r="G115" s="63"/>
      <c r="H115" s="63"/>
      <c r="I115" s="63"/>
      <c r="J115" s="63"/>
      <c r="K115" s="63"/>
    </row>
    <row r="116" spans="2:13" x14ac:dyDescent="0.25">
      <c r="B116" s="69">
        <v>5</v>
      </c>
      <c r="C116" s="63" t="e">
        <f>CORREL(C8:C107,G8:G107)</f>
        <v>#DIV/0!</v>
      </c>
      <c r="D116" s="63" t="e">
        <f>CORREL(D8:D107,G8:G107)</f>
        <v>#DIV/0!</v>
      </c>
      <c r="E116" s="63" t="e">
        <f>CORREL(E8:E107,G8:G107)</f>
        <v>#DIV/0!</v>
      </c>
      <c r="F116" s="63" t="e">
        <f>CORREL(F8:F107,G8:G107)</f>
        <v>#DIV/0!</v>
      </c>
      <c r="G116" s="67">
        <v>1</v>
      </c>
      <c r="H116" s="63"/>
      <c r="I116" s="63"/>
      <c r="J116" s="63"/>
      <c r="K116" s="63"/>
      <c r="M116" s="52"/>
    </row>
    <row r="117" spans="2:13" x14ac:dyDescent="0.25">
      <c r="B117" s="64">
        <v>6</v>
      </c>
      <c r="C117" s="66">
        <f>CORREL(C8:C107,H8:H107)</f>
        <v>-0.91066654197345198</v>
      </c>
      <c r="D117" s="63">
        <f>CORREL(D8:D107,H8:H107)</f>
        <v>7.1126632561055669E-2</v>
      </c>
      <c r="E117" s="63">
        <f>CORREL(E8:E107,H8:H107)</f>
        <v>-7.8132677761805405E-3</v>
      </c>
      <c r="F117" s="63">
        <f>CORREL(F8:F107,H8:H107)</f>
        <v>0.66098288845736708</v>
      </c>
      <c r="G117" s="63" t="e">
        <f>CORREL(G8:G107,H8:H107)</f>
        <v>#DIV/0!</v>
      </c>
      <c r="H117" s="67">
        <v>0.01</v>
      </c>
      <c r="I117" s="63"/>
      <c r="J117" s="63"/>
      <c r="K117" s="63"/>
    </row>
    <row r="118" spans="2:13" x14ac:dyDescent="0.25">
      <c r="B118" s="69">
        <v>7</v>
      </c>
      <c r="C118" s="63">
        <f>CORREL(C8:C107,I8:I107)</f>
        <v>-1.211327727054675E-2</v>
      </c>
      <c r="D118" s="66">
        <f>CORREL(D8:D107,I8:I107)</f>
        <v>-0.93272789049612104</v>
      </c>
      <c r="E118" s="63">
        <f>CORREL(E8:E107,I8:I107)</f>
        <v>-0.34034475318386975</v>
      </c>
      <c r="F118" s="63">
        <f>CORREL(F8:F107,I8:I107)</f>
        <v>-0.39976418958214843</v>
      </c>
      <c r="G118" s="63" t="e">
        <f>CORREL(G8:G107,I8:I107)</f>
        <v>#DIV/0!</v>
      </c>
      <c r="H118" s="63">
        <f>CORREL(H8:H107,I8:I107)</f>
        <v>-6.2983362816626254E-2</v>
      </c>
      <c r="I118" s="67">
        <v>1</v>
      </c>
      <c r="J118" s="63"/>
      <c r="K118" s="63"/>
    </row>
    <row r="119" spans="2:13" x14ac:dyDescent="0.25">
      <c r="B119" s="64">
        <v>8</v>
      </c>
      <c r="C119" s="63">
        <f>CORREL(C8:C107,J8:J107)</f>
        <v>0.10069993527390635</v>
      </c>
      <c r="D119" s="68">
        <f>CORREL(D8:D107,J8:J107)</f>
        <v>0.76626904703422816</v>
      </c>
      <c r="E119" s="63">
        <f>CORREL(E8:E107,J8:J107)</f>
        <v>0.1372430177582597</v>
      </c>
      <c r="F119" s="63">
        <f>CORREL(F8:F107,J8:J107)</f>
        <v>0.45916566442924062</v>
      </c>
      <c r="G119" s="63" t="e">
        <f>CORREL(G8:G107,I8:I107)</f>
        <v>#DIV/0!</v>
      </c>
      <c r="H119" s="63">
        <f>CORREL(H8:H107,J8:J107)</f>
        <v>1.1148497376539893E-2</v>
      </c>
      <c r="I119" s="66">
        <f>CORREL(I8:I107,K8:K107)</f>
        <v>-0.82268625847851651</v>
      </c>
      <c r="J119" s="67">
        <v>1</v>
      </c>
      <c r="K119" s="63"/>
    </row>
    <row r="120" spans="2:13" x14ac:dyDescent="0.25">
      <c r="B120" s="69">
        <v>9</v>
      </c>
      <c r="C120" s="63">
        <f>CORREL(C8:C107,K8:K107)</f>
        <v>8.4073375708618239E-2</v>
      </c>
      <c r="D120" s="68">
        <f>CORREL(D8:D107,K8:K107)</f>
        <v>0.87281869093093556</v>
      </c>
      <c r="E120" s="63">
        <f>CORREL(E8:E107,K8:K107)</f>
        <v>0.21185812576295909</v>
      </c>
      <c r="F120" s="63">
        <f>CORREL(F8:F107,K8:K107)</f>
        <v>0.47199865384139761</v>
      </c>
      <c r="G120" s="63" t="e">
        <f>CORREL(G8:G107,K8:K107)</f>
        <v>#DIV/0!</v>
      </c>
      <c r="H120" s="63">
        <f>CORREL(H8:H107,K8:K107)</f>
        <v>2.5060599797273157E-2</v>
      </c>
      <c r="I120" s="63">
        <f>CORREL(H8:H107,I8:I107)</f>
        <v>-6.2983362816626254E-2</v>
      </c>
      <c r="J120" s="68">
        <f>CORREL(J8:J107,K8:K107)</f>
        <v>0.97361192544235753</v>
      </c>
      <c r="K120" s="67">
        <v>0.01</v>
      </c>
    </row>
    <row r="121" spans="2:13" x14ac:dyDescent="0.25">
      <c r="B121" s="49"/>
      <c r="C121" s="50"/>
      <c r="D121" s="50"/>
      <c r="E121" s="50"/>
      <c r="F121" s="50"/>
      <c r="G121" s="50"/>
      <c r="H121" s="51"/>
      <c r="I121" s="50"/>
      <c r="J121" s="50"/>
      <c r="K121" s="51"/>
    </row>
    <row r="122" spans="2:13" x14ac:dyDescent="0.25">
      <c r="B122" s="49"/>
      <c r="C122" s="50"/>
      <c r="D122" s="50"/>
      <c r="E122" s="50"/>
      <c r="F122" s="50"/>
      <c r="G122" s="50"/>
      <c r="H122" s="51"/>
      <c r="I122" s="50"/>
      <c r="J122" s="50"/>
      <c r="K122" s="51"/>
    </row>
    <row r="123" spans="2:13" x14ac:dyDescent="0.25">
      <c r="B123" s="49"/>
      <c r="C123" s="50"/>
      <c r="D123" s="50"/>
      <c r="E123" s="50"/>
      <c r="F123" s="50"/>
      <c r="G123" s="50"/>
      <c r="H123" s="51"/>
      <c r="I123" s="50"/>
      <c r="J123" s="50"/>
      <c r="K123" s="51"/>
    </row>
    <row r="124" spans="2:13" x14ac:dyDescent="0.25">
      <c r="B124" s="49"/>
      <c r="C124" s="50"/>
      <c r="D124" s="50"/>
      <c r="E124" s="50"/>
      <c r="F124" s="50"/>
      <c r="G124" s="50"/>
      <c r="H124" s="51"/>
      <c r="I124" s="50"/>
      <c r="J124" s="50"/>
      <c r="K124" s="51"/>
    </row>
    <row r="125" spans="2:13" x14ac:dyDescent="0.25">
      <c r="B125" s="49"/>
      <c r="C125" s="50"/>
      <c r="D125" s="50"/>
      <c r="E125" s="50"/>
      <c r="F125" s="50"/>
      <c r="G125" s="50"/>
      <c r="H125" s="51"/>
      <c r="I125" s="50"/>
      <c r="J125" s="50"/>
      <c r="K125" s="51"/>
    </row>
    <row r="132" spans="2:13" x14ac:dyDescent="0.25">
      <c r="M132" s="52"/>
    </row>
    <row r="139" spans="2:13" x14ac:dyDescent="0.25">
      <c r="B139" s="56" t="s">
        <v>54</v>
      </c>
    </row>
    <row r="140" spans="2:13" x14ac:dyDescent="0.25">
      <c r="B140" s="91" t="s">
        <v>51</v>
      </c>
      <c r="C140" s="91"/>
      <c r="D140" s="91"/>
      <c r="E140" s="91"/>
      <c r="F140" s="91"/>
      <c r="G140" s="91"/>
      <c r="H140" s="91"/>
      <c r="I140" s="91"/>
      <c r="J140" s="91"/>
      <c r="K140" s="73">
        <v>0.9</v>
      </c>
    </row>
    <row r="141" spans="2:13" x14ac:dyDescent="0.25">
      <c r="B141" s="63"/>
      <c r="C141" s="64">
        <v>1</v>
      </c>
      <c r="D141" s="64">
        <v>2</v>
      </c>
      <c r="E141" s="64">
        <v>3</v>
      </c>
      <c r="F141" s="64">
        <v>4</v>
      </c>
      <c r="G141" s="64">
        <v>5</v>
      </c>
      <c r="H141" s="64">
        <v>6</v>
      </c>
      <c r="I141" s="64">
        <v>7</v>
      </c>
      <c r="J141" s="64">
        <v>8</v>
      </c>
      <c r="K141" s="64">
        <v>9</v>
      </c>
    </row>
    <row r="142" spans="2:13" x14ac:dyDescent="0.25">
      <c r="B142" s="69">
        <v>1</v>
      </c>
      <c r="C142" s="67">
        <v>1</v>
      </c>
      <c r="D142" s="63"/>
      <c r="E142" s="63"/>
      <c r="F142" s="63"/>
      <c r="G142" s="63"/>
      <c r="H142" s="63"/>
      <c r="I142" s="63"/>
      <c r="J142" s="63"/>
      <c r="K142" s="63"/>
    </row>
    <row r="143" spans="2:13" x14ac:dyDescent="0.25">
      <c r="B143" s="64">
        <v>2</v>
      </c>
      <c r="C143" s="63"/>
      <c r="D143" s="67">
        <v>1</v>
      </c>
      <c r="E143" s="63"/>
      <c r="F143" s="65"/>
      <c r="G143" s="63"/>
      <c r="H143" s="63"/>
      <c r="I143" s="63"/>
      <c r="J143" s="63"/>
      <c r="K143" s="63"/>
    </row>
    <row r="144" spans="2:13" x14ac:dyDescent="0.25">
      <c r="B144" s="69">
        <v>3</v>
      </c>
      <c r="C144" s="63"/>
      <c r="D144" s="63"/>
      <c r="E144" s="67">
        <v>1</v>
      </c>
      <c r="F144" s="63"/>
      <c r="G144" s="63"/>
      <c r="H144" s="63"/>
      <c r="I144" s="63"/>
      <c r="J144" s="63"/>
      <c r="K144" s="63"/>
    </row>
    <row r="145" spans="2:11" x14ac:dyDescent="0.25">
      <c r="B145" s="64">
        <v>4</v>
      </c>
      <c r="C145" s="63"/>
      <c r="D145" s="63"/>
      <c r="E145" s="63"/>
      <c r="F145" s="67">
        <v>1</v>
      </c>
      <c r="G145" s="63"/>
      <c r="H145" s="63"/>
      <c r="I145" s="63"/>
      <c r="J145" s="63"/>
      <c r="K145" s="63"/>
    </row>
    <row r="146" spans="2:11" x14ac:dyDescent="0.25">
      <c r="B146" s="69">
        <v>5</v>
      </c>
      <c r="C146" s="63"/>
      <c r="D146" s="63"/>
      <c r="E146" s="63"/>
      <c r="F146" s="63"/>
      <c r="G146" s="67">
        <v>1</v>
      </c>
      <c r="H146" s="63"/>
      <c r="I146" s="63"/>
      <c r="J146" s="63"/>
      <c r="K146" s="63"/>
    </row>
    <row r="147" spans="2:11" x14ac:dyDescent="0.25">
      <c r="B147" s="64">
        <v>6</v>
      </c>
      <c r="C147" s="70"/>
      <c r="D147" s="63"/>
      <c r="E147" s="63"/>
      <c r="F147" s="63"/>
      <c r="G147" s="63"/>
      <c r="H147" s="67">
        <v>0.01</v>
      </c>
      <c r="I147" s="63"/>
      <c r="J147" s="63"/>
      <c r="K147" s="63"/>
    </row>
    <row r="148" spans="2:11" x14ac:dyDescent="0.25">
      <c r="B148" s="69">
        <v>7</v>
      </c>
      <c r="C148" s="63"/>
      <c r="D148" s="66">
        <v>-0.93272789049612104</v>
      </c>
      <c r="E148" s="63"/>
      <c r="F148" s="63"/>
      <c r="G148" s="63"/>
      <c r="H148" s="63"/>
      <c r="I148" s="67">
        <v>1</v>
      </c>
      <c r="J148" s="63"/>
      <c r="K148" s="63"/>
    </row>
    <row r="149" spans="2:11" x14ac:dyDescent="0.25">
      <c r="B149" s="64">
        <v>8</v>
      </c>
      <c r="C149" s="70"/>
      <c r="D149" s="70"/>
      <c r="E149" s="70"/>
      <c r="F149" s="70"/>
      <c r="G149" s="70"/>
      <c r="H149" s="70"/>
      <c r="I149" s="70"/>
      <c r="J149" s="67">
        <v>1</v>
      </c>
      <c r="K149" s="63"/>
    </row>
    <row r="150" spans="2:11" x14ac:dyDescent="0.25">
      <c r="B150" s="69">
        <v>9</v>
      </c>
      <c r="C150" s="70"/>
      <c r="D150" s="70"/>
      <c r="E150" s="70"/>
      <c r="F150" s="70"/>
      <c r="G150" s="70"/>
      <c r="H150" s="70"/>
      <c r="I150" s="70"/>
      <c r="J150" s="68">
        <v>0.97361192544235753</v>
      </c>
      <c r="K150" s="67">
        <v>0.01</v>
      </c>
    </row>
    <row r="152" spans="2:11" x14ac:dyDescent="0.25">
      <c r="E152" s="62">
        <v>1</v>
      </c>
    </row>
    <row r="153" spans="2:11" x14ac:dyDescent="0.25">
      <c r="B153" s="56" t="s">
        <v>58</v>
      </c>
      <c r="C153" s="72">
        <v>9</v>
      </c>
      <c r="G153" s="71">
        <v>2</v>
      </c>
      <c r="H153" s="56" t="s">
        <v>57</v>
      </c>
      <c r="J153">
        <v>2</v>
      </c>
      <c r="K153" t="s">
        <v>55</v>
      </c>
    </row>
    <row r="154" spans="2:11" x14ac:dyDescent="0.25">
      <c r="J154">
        <v>9</v>
      </c>
      <c r="K154" t="s">
        <v>56</v>
      </c>
    </row>
    <row r="155" spans="2:11" x14ac:dyDescent="0.25">
      <c r="C155" s="72">
        <v>8</v>
      </c>
      <c r="G155" s="62">
        <v>3</v>
      </c>
    </row>
    <row r="157" spans="2:11" x14ac:dyDescent="0.25">
      <c r="C157" s="71">
        <v>7</v>
      </c>
      <c r="G157" s="62">
        <v>4</v>
      </c>
    </row>
    <row r="158" spans="2:11" x14ac:dyDescent="0.25">
      <c r="E158" s="49"/>
    </row>
    <row r="159" spans="2:11" x14ac:dyDescent="0.25">
      <c r="D159" s="62">
        <v>6</v>
      </c>
      <c r="E159" s="49"/>
      <c r="F159" s="62">
        <v>5</v>
      </c>
    </row>
    <row r="162" spans="2:11" x14ac:dyDescent="0.25">
      <c r="B162" s="91" t="s">
        <v>52</v>
      </c>
      <c r="C162" s="91"/>
      <c r="D162" s="91"/>
      <c r="E162" s="91"/>
      <c r="F162" s="91"/>
      <c r="G162" s="91"/>
      <c r="H162" s="91"/>
      <c r="I162" s="91"/>
      <c r="J162" s="91"/>
      <c r="K162" s="73">
        <v>0.8</v>
      </c>
    </row>
    <row r="163" spans="2:11" x14ac:dyDescent="0.25">
      <c r="B163" s="63"/>
      <c r="C163" s="64">
        <v>1</v>
      </c>
      <c r="D163" s="64">
        <v>2</v>
      </c>
      <c r="E163" s="64">
        <v>3</v>
      </c>
      <c r="F163" s="64">
        <v>4</v>
      </c>
      <c r="G163" s="64">
        <v>5</v>
      </c>
      <c r="H163" s="64">
        <v>6</v>
      </c>
      <c r="I163" s="64">
        <v>7</v>
      </c>
      <c r="J163" s="64">
        <v>8</v>
      </c>
      <c r="K163" s="64">
        <v>9</v>
      </c>
    </row>
    <row r="164" spans="2:11" x14ac:dyDescent="0.25">
      <c r="B164" s="69">
        <v>1</v>
      </c>
      <c r="C164" s="67">
        <v>1</v>
      </c>
      <c r="D164" s="63"/>
      <c r="E164" s="63"/>
      <c r="F164" s="63"/>
      <c r="G164" s="63"/>
      <c r="H164" s="63"/>
      <c r="I164" s="63"/>
      <c r="J164" s="63"/>
      <c r="K164" s="63"/>
    </row>
    <row r="165" spans="2:11" x14ac:dyDescent="0.25">
      <c r="B165" s="64">
        <v>2</v>
      </c>
      <c r="C165" s="63"/>
      <c r="D165" s="67">
        <v>1</v>
      </c>
      <c r="E165" s="63"/>
      <c r="F165" s="65"/>
      <c r="G165" s="63"/>
      <c r="H165" s="63"/>
      <c r="I165" s="63"/>
      <c r="J165" s="63"/>
      <c r="K165" s="63"/>
    </row>
    <row r="166" spans="2:11" x14ac:dyDescent="0.25">
      <c r="B166" s="69">
        <v>3</v>
      </c>
      <c r="C166" s="63"/>
      <c r="D166" s="63"/>
      <c r="E166" s="67">
        <v>1</v>
      </c>
      <c r="F166" s="63"/>
      <c r="G166" s="63"/>
      <c r="H166" s="63"/>
      <c r="I166" s="63"/>
      <c r="J166" s="63"/>
      <c r="K166" s="63"/>
    </row>
    <row r="167" spans="2:11" x14ac:dyDescent="0.25">
      <c r="B167" s="64">
        <v>4</v>
      </c>
      <c r="C167" s="63"/>
      <c r="D167" s="63"/>
      <c r="E167" s="63"/>
      <c r="F167" s="67">
        <v>1</v>
      </c>
      <c r="G167" s="63"/>
      <c r="H167" s="63"/>
      <c r="I167" s="63"/>
      <c r="J167" s="63"/>
      <c r="K167" s="63"/>
    </row>
    <row r="168" spans="2:11" x14ac:dyDescent="0.25">
      <c r="B168" s="69">
        <v>5</v>
      </c>
      <c r="C168" s="63"/>
      <c r="D168" s="63"/>
      <c r="E168" s="63"/>
      <c r="F168" s="63"/>
      <c r="G168" s="67">
        <v>1</v>
      </c>
      <c r="H168" s="63"/>
      <c r="I168" s="63"/>
      <c r="J168" s="63"/>
      <c r="K168" s="63"/>
    </row>
    <row r="169" spans="2:11" x14ac:dyDescent="0.25">
      <c r="B169" s="64">
        <v>6</v>
      </c>
      <c r="C169" s="66">
        <v>-0.91066654197345198</v>
      </c>
      <c r="D169" s="63"/>
      <c r="E169" s="63"/>
      <c r="F169" s="63"/>
      <c r="G169" s="63"/>
      <c r="H169" s="67">
        <v>0.01</v>
      </c>
      <c r="I169" s="63"/>
      <c r="J169" s="63"/>
      <c r="K169" s="63"/>
    </row>
    <row r="170" spans="2:11" x14ac:dyDescent="0.25">
      <c r="B170" s="69">
        <v>7</v>
      </c>
      <c r="C170" s="63"/>
      <c r="D170" s="66">
        <v>-0.93272789049612104</v>
      </c>
      <c r="E170" s="63"/>
      <c r="F170" s="63"/>
      <c r="G170" s="63"/>
      <c r="H170" s="63"/>
      <c r="I170" s="67">
        <v>1</v>
      </c>
      <c r="J170" s="63"/>
      <c r="K170" s="63"/>
    </row>
    <row r="171" spans="2:11" x14ac:dyDescent="0.25">
      <c r="B171" s="64">
        <v>8</v>
      </c>
      <c r="C171" s="63"/>
      <c r="D171" s="70"/>
      <c r="E171" s="63"/>
      <c r="F171" s="63"/>
      <c r="G171" s="63"/>
      <c r="H171" s="63"/>
      <c r="I171" s="66">
        <v>-0.82268625847851651</v>
      </c>
      <c r="J171" s="67">
        <v>1</v>
      </c>
      <c r="K171" s="63"/>
    </row>
    <row r="172" spans="2:11" x14ac:dyDescent="0.25">
      <c r="B172" s="69">
        <v>9</v>
      </c>
      <c r="C172" s="63"/>
      <c r="D172" s="68">
        <v>0.87281869093093556</v>
      </c>
      <c r="E172" s="63"/>
      <c r="F172" s="63"/>
      <c r="G172" s="63"/>
      <c r="H172" s="63"/>
      <c r="I172" s="63"/>
      <c r="J172" s="68">
        <v>0.97361192544235753</v>
      </c>
      <c r="K172" s="67">
        <v>0.01</v>
      </c>
    </row>
    <row r="174" spans="2:11" x14ac:dyDescent="0.25">
      <c r="E174" s="71">
        <v>1</v>
      </c>
    </row>
    <row r="175" spans="2:11" x14ac:dyDescent="0.25">
      <c r="B175" s="56" t="s">
        <v>58</v>
      </c>
      <c r="C175" s="72">
        <v>9</v>
      </c>
      <c r="G175" s="71">
        <v>2</v>
      </c>
      <c r="H175" s="56"/>
      <c r="J175">
        <v>7</v>
      </c>
      <c r="K175" s="56" t="s">
        <v>59</v>
      </c>
    </row>
    <row r="176" spans="2:11" x14ac:dyDescent="0.25">
      <c r="J176">
        <v>9</v>
      </c>
      <c r="K176" t="s">
        <v>56</v>
      </c>
    </row>
    <row r="177" spans="2:11" x14ac:dyDescent="0.25">
      <c r="C177" s="72">
        <v>8</v>
      </c>
      <c r="G177" s="62">
        <v>3</v>
      </c>
    </row>
    <row r="179" spans="2:11" x14ac:dyDescent="0.25">
      <c r="B179" s="56" t="s">
        <v>57</v>
      </c>
      <c r="C179" s="71">
        <v>7</v>
      </c>
      <c r="G179" s="62">
        <v>4</v>
      </c>
    </row>
    <row r="180" spans="2:11" x14ac:dyDescent="0.25">
      <c r="E180" s="49"/>
    </row>
    <row r="181" spans="2:11" x14ac:dyDescent="0.25">
      <c r="D181" s="71">
        <v>6</v>
      </c>
      <c r="E181" s="49"/>
      <c r="F181" s="62">
        <v>5</v>
      </c>
    </row>
    <row r="184" spans="2:11" x14ac:dyDescent="0.25">
      <c r="B184" s="91" t="s">
        <v>53</v>
      </c>
      <c r="C184" s="91"/>
      <c r="D184" s="91"/>
      <c r="E184" s="91"/>
      <c r="F184" s="91"/>
      <c r="G184" s="91"/>
      <c r="H184" s="91"/>
      <c r="I184" s="91"/>
      <c r="J184" s="91"/>
      <c r="K184" s="73">
        <v>0.7</v>
      </c>
    </row>
    <row r="185" spans="2:11" x14ac:dyDescent="0.25">
      <c r="B185" s="63"/>
      <c r="C185" s="64">
        <v>1</v>
      </c>
      <c r="D185" s="64">
        <v>2</v>
      </c>
      <c r="E185" s="64">
        <v>3</v>
      </c>
      <c r="F185" s="64">
        <v>4</v>
      </c>
      <c r="G185" s="64">
        <v>5</v>
      </c>
      <c r="H185" s="64">
        <v>6</v>
      </c>
      <c r="I185" s="64">
        <v>7</v>
      </c>
      <c r="J185" s="64">
        <v>8</v>
      </c>
      <c r="K185" s="64">
        <v>9</v>
      </c>
    </row>
    <row r="186" spans="2:11" x14ac:dyDescent="0.25">
      <c r="B186" s="69">
        <v>1</v>
      </c>
      <c r="C186" s="67">
        <v>1</v>
      </c>
      <c r="D186" s="63"/>
      <c r="E186" s="63"/>
      <c r="F186" s="63"/>
      <c r="G186" s="63"/>
      <c r="H186" s="63"/>
      <c r="I186" s="63"/>
      <c r="J186" s="63"/>
      <c r="K186" s="63"/>
    </row>
    <row r="187" spans="2:11" x14ac:dyDescent="0.25">
      <c r="B187" s="64">
        <v>2</v>
      </c>
      <c r="C187" s="63"/>
      <c r="D187" s="67">
        <v>1</v>
      </c>
      <c r="E187" s="63"/>
      <c r="F187" s="65"/>
      <c r="G187" s="63"/>
      <c r="H187" s="63"/>
      <c r="I187" s="63"/>
      <c r="J187" s="63"/>
      <c r="K187" s="63"/>
    </row>
    <row r="188" spans="2:11" x14ac:dyDescent="0.25">
      <c r="B188" s="69">
        <v>3</v>
      </c>
      <c r="C188" s="63"/>
      <c r="D188" s="63"/>
      <c r="E188" s="67">
        <v>1</v>
      </c>
      <c r="F188" s="63"/>
      <c r="G188" s="63"/>
      <c r="H188" s="63"/>
      <c r="I188" s="63"/>
      <c r="J188" s="63"/>
      <c r="K188" s="63"/>
    </row>
    <row r="189" spans="2:11" x14ac:dyDescent="0.25">
      <c r="B189" s="64">
        <v>4</v>
      </c>
      <c r="C189" s="63"/>
      <c r="D189" s="63"/>
      <c r="E189" s="63"/>
      <c r="F189" s="67">
        <v>1</v>
      </c>
      <c r="G189" s="63"/>
      <c r="H189" s="63"/>
      <c r="I189" s="63"/>
      <c r="J189" s="63"/>
      <c r="K189" s="63"/>
    </row>
    <row r="190" spans="2:11" x14ac:dyDescent="0.25">
      <c r="B190" s="69">
        <v>5</v>
      </c>
      <c r="C190" s="63"/>
      <c r="D190" s="63"/>
      <c r="E190" s="63"/>
      <c r="F190" s="63"/>
      <c r="G190" s="67">
        <v>1</v>
      </c>
      <c r="H190" s="63"/>
      <c r="I190" s="63"/>
      <c r="J190" s="63"/>
      <c r="K190" s="63"/>
    </row>
    <row r="191" spans="2:11" x14ac:dyDescent="0.25">
      <c r="B191" s="64">
        <v>6</v>
      </c>
      <c r="C191" s="66">
        <v>-0.91066654197345198</v>
      </c>
      <c r="D191" s="63"/>
      <c r="E191" s="63"/>
      <c r="F191" s="63"/>
      <c r="G191" s="63"/>
      <c r="H191" s="67">
        <v>0.01</v>
      </c>
      <c r="I191" s="63"/>
      <c r="J191" s="63"/>
      <c r="K191" s="63"/>
    </row>
    <row r="192" spans="2:11" x14ac:dyDescent="0.25">
      <c r="B192" s="69">
        <v>7</v>
      </c>
      <c r="C192" s="63"/>
      <c r="D192" s="66">
        <v>-0.93272789049612104</v>
      </c>
      <c r="E192" s="63"/>
      <c r="F192" s="63"/>
      <c r="G192" s="63"/>
      <c r="H192" s="63"/>
      <c r="I192" s="67">
        <v>1</v>
      </c>
      <c r="J192" s="63"/>
      <c r="K192" s="63"/>
    </row>
    <row r="193" spans="2:20" x14ac:dyDescent="0.25">
      <c r="B193" s="64">
        <v>8</v>
      </c>
      <c r="C193" s="63"/>
      <c r="D193" s="68">
        <v>0.76626904703422816</v>
      </c>
      <c r="E193" s="63"/>
      <c r="F193" s="63"/>
      <c r="G193" s="63"/>
      <c r="H193" s="63"/>
      <c r="I193" s="66">
        <v>-0.82268625847851651</v>
      </c>
      <c r="J193" s="67">
        <v>1</v>
      </c>
      <c r="K193" s="63"/>
    </row>
    <row r="194" spans="2:20" x14ac:dyDescent="0.25">
      <c r="B194" s="69">
        <v>9</v>
      </c>
      <c r="C194" s="63"/>
      <c r="D194" s="68">
        <v>0.87281869093093556</v>
      </c>
      <c r="E194" s="63"/>
      <c r="F194" s="63"/>
      <c r="G194" s="63"/>
      <c r="H194" s="63"/>
      <c r="I194" s="63"/>
      <c r="J194" s="68">
        <v>0.97361192544235753</v>
      </c>
      <c r="K194" s="67">
        <v>0.01</v>
      </c>
    </row>
    <row r="196" spans="2:20" x14ac:dyDescent="0.25">
      <c r="E196" s="71">
        <v>1</v>
      </c>
    </row>
    <row r="197" spans="2:20" x14ac:dyDescent="0.25">
      <c r="B197" s="56" t="s">
        <v>58</v>
      </c>
      <c r="C197" s="72">
        <v>9</v>
      </c>
      <c r="G197" s="71">
        <v>2</v>
      </c>
      <c r="H197" s="56"/>
      <c r="J197">
        <v>8</v>
      </c>
      <c r="K197" s="56" t="s">
        <v>60</v>
      </c>
    </row>
    <row r="198" spans="2:20" x14ac:dyDescent="0.25">
      <c r="J198">
        <v>9</v>
      </c>
      <c r="K198" t="s">
        <v>56</v>
      </c>
    </row>
    <row r="199" spans="2:20" x14ac:dyDescent="0.25">
      <c r="B199" s="56" t="s">
        <v>57</v>
      </c>
      <c r="C199" s="72">
        <v>8</v>
      </c>
      <c r="G199" s="62">
        <v>3</v>
      </c>
    </row>
    <row r="201" spans="2:20" x14ac:dyDescent="0.25">
      <c r="C201" s="71">
        <v>7</v>
      </c>
      <c r="G201" s="62">
        <v>4</v>
      </c>
    </row>
    <row r="202" spans="2:20" x14ac:dyDescent="0.25">
      <c r="E202" s="49"/>
    </row>
    <row r="203" spans="2:20" x14ac:dyDescent="0.25">
      <c r="D203" s="71">
        <v>6</v>
      </c>
      <c r="E203" s="49"/>
      <c r="F203" s="62">
        <v>5</v>
      </c>
    </row>
    <row r="206" spans="2:20" ht="15" x14ac:dyDescent="0.25">
      <c r="B206" s="6"/>
      <c r="C206" s="6" t="s">
        <v>61</v>
      </c>
      <c r="D206" s="6"/>
      <c r="E206" s="6"/>
      <c r="F206" s="6"/>
      <c r="G206" s="6"/>
    </row>
    <row r="207" spans="2:20" ht="15" x14ac:dyDescent="0.25">
      <c r="B207" s="89" t="s">
        <v>67</v>
      </c>
      <c r="C207" s="89"/>
      <c r="D207" s="89"/>
      <c r="E207" s="89"/>
      <c r="F207" s="89"/>
      <c r="G207" s="89"/>
    </row>
    <row r="208" spans="2:20" ht="15" x14ac:dyDescent="0.25">
      <c r="B208" s="74"/>
      <c r="C208" s="77" t="s">
        <v>62</v>
      </c>
      <c r="D208" s="77" t="s">
        <v>63</v>
      </c>
      <c r="E208" s="77" t="s">
        <v>64</v>
      </c>
      <c r="F208" s="75" t="s">
        <v>65</v>
      </c>
      <c r="G208" s="75" t="s">
        <v>66</v>
      </c>
      <c r="I208" s="74"/>
      <c r="J208" s="77" t="s">
        <v>62</v>
      </c>
      <c r="K208" s="77" t="s">
        <v>63</v>
      </c>
      <c r="L208" s="77" t="s">
        <v>64</v>
      </c>
      <c r="M208" s="76" t="s">
        <v>68</v>
      </c>
      <c r="N208" s="76" t="s">
        <v>69</v>
      </c>
      <c r="O208" s="76" t="s">
        <v>70</v>
      </c>
      <c r="P208" s="76" t="s">
        <v>71</v>
      </c>
      <c r="Q208" s="76" t="s">
        <v>72</v>
      </c>
      <c r="R208" s="76" t="s">
        <v>73</v>
      </c>
      <c r="S208" s="75" t="s">
        <v>65</v>
      </c>
      <c r="T208" s="75" t="s">
        <v>66</v>
      </c>
    </row>
    <row r="209" spans="2:20" ht="15" x14ac:dyDescent="0.25">
      <c r="B209" s="75">
        <v>1</v>
      </c>
      <c r="C209" s="76">
        <v>3.629291665395062</v>
      </c>
      <c r="D209" s="76">
        <v>7.5373393963438824</v>
      </c>
      <c r="E209" s="76">
        <v>10.330210272530289</v>
      </c>
      <c r="F209" s="79">
        <v>1069</v>
      </c>
      <c r="G209" s="75">
        <v>59.4</v>
      </c>
      <c r="I209" s="75">
        <v>1</v>
      </c>
      <c r="J209" s="76">
        <v>3.629291665395062</v>
      </c>
      <c r="K209" s="76">
        <v>7.5373393963438824</v>
      </c>
      <c r="L209" s="76">
        <v>10.330210272530289</v>
      </c>
      <c r="M209" s="76">
        <f>J209*J209</f>
        <v>13.171757992506063</v>
      </c>
      <c r="N209" s="76">
        <f>J209*K209</f>
        <v>27.3552030504047</v>
      </c>
      <c r="O209" s="76">
        <f>J209*L209</f>
        <v>37.491346043872632</v>
      </c>
      <c r="P209" s="76">
        <f>K209*K209</f>
        <v>56.811485175677561</v>
      </c>
      <c r="Q209" s="76">
        <f>K209*L209</f>
        <v>77.862300859658816</v>
      </c>
      <c r="R209" s="76">
        <f>L209*L209</f>
        <v>106.71324427469031</v>
      </c>
      <c r="S209" s="79">
        <v>1069</v>
      </c>
      <c r="T209" s="75">
        <v>59.4</v>
      </c>
    </row>
    <row r="210" spans="2:20" ht="15" x14ac:dyDescent="0.25">
      <c r="B210" s="75">
        <v>2</v>
      </c>
      <c r="C210" s="76">
        <v>1.7223731192968534</v>
      </c>
      <c r="D210" s="76">
        <v>5.8978545487838367</v>
      </c>
      <c r="E210" s="76">
        <v>2.225989562669759</v>
      </c>
      <c r="F210" s="79">
        <v>636</v>
      </c>
      <c r="G210" s="78">
        <v>75.7</v>
      </c>
      <c r="I210" s="75">
        <v>2</v>
      </c>
      <c r="J210" s="76">
        <v>1.7223731192968534</v>
      </c>
      <c r="K210" s="76">
        <v>5.8978545487838367</v>
      </c>
      <c r="L210" s="76">
        <v>2.225989562669759</v>
      </c>
      <c r="M210" s="76">
        <f>J210*J210</f>
        <v>2.966569162076373</v>
      </c>
      <c r="N210" s="76">
        <f t="shared" ref="N210:N238" si="2">J210*K210</f>
        <v>10.158306136347953</v>
      </c>
      <c r="O210" s="76">
        <f t="shared" ref="O210:O238" si="3">J210*L210</f>
        <v>3.8339845865777513</v>
      </c>
      <c r="P210" s="76">
        <f t="shared" ref="P210:P238" si="4">K210*K210</f>
        <v>34.784688278610197</v>
      </c>
      <c r="Q210" s="76">
        <f t="shared" ref="Q210:Q238" si="5">K210*L210</f>
        <v>13.128562667737182</v>
      </c>
      <c r="R210" s="76">
        <f t="shared" ref="R210:R238" si="6">L210*L210</f>
        <v>4.955029533114705</v>
      </c>
      <c r="S210" s="79">
        <v>636</v>
      </c>
      <c r="T210" s="78">
        <v>75.7</v>
      </c>
    </row>
    <row r="211" spans="2:20" ht="15" x14ac:dyDescent="0.25">
      <c r="B211" s="75">
        <v>3</v>
      </c>
      <c r="C211" s="76">
        <v>4.9821161534470662</v>
      </c>
      <c r="D211" s="76">
        <v>8.5305337687307343</v>
      </c>
      <c r="E211" s="76">
        <v>3.8467665639210185</v>
      </c>
      <c r="F211" s="79">
        <v>2114</v>
      </c>
      <c r="G211" s="78">
        <v>88.3</v>
      </c>
      <c r="I211" s="75">
        <v>3</v>
      </c>
      <c r="J211" s="76">
        <v>4.9821161534470662</v>
      </c>
      <c r="K211" s="76">
        <v>8.5305337687307343</v>
      </c>
      <c r="L211" s="76">
        <v>3.8467665639210185</v>
      </c>
      <c r="M211" s="76">
        <f t="shared" ref="M211:M238" si="7">J211*J211</f>
        <v>24.821481366438192</v>
      </c>
      <c r="N211" s="76">
        <f t="shared" si="2"/>
        <v>42.500110086719069</v>
      </c>
      <c r="O211" s="76">
        <f t="shared" si="3"/>
        <v>19.165037836650971</v>
      </c>
      <c r="P211" s="76">
        <f t="shared" si="4"/>
        <v>72.770006379455381</v>
      </c>
      <c r="Q211" s="76">
        <f t="shared" si="5"/>
        <v>32.814972073952539</v>
      </c>
      <c r="R211" s="76">
        <f t="shared" si="6"/>
        <v>14.797612997300719</v>
      </c>
      <c r="S211" s="79">
        <v>2114</v>
      </c>
      <c r="T211" s="78">
        <v>88.3</v>
      </c>
    </row>
    <row r="212" spans="2:20" ht="15" x14ac:dyDescent="0.25">
      <c r="B212" s="75">
        <v>4</v>
      </c>
      <c r="C212" s="76">
        <v>2.4656208990752893</v>
      </c>
      <c r="D212" s="76">
        <v>9.6822107608264414</v>
      </c>
      <c r="E212" s="76">
        <v>1.6546220282601398</v>
      </c>
      <c r="F212" s="79">
        <v>987</v>
      </c>
      <c r="G212" s="78">
        <v>80.400000000000006</v>
      </c>
      <c r="I212" s="75">
        <v>4</v>
      </c>
      <c r="J212" s="76">
        <v>2.4656208990752893</v>
      </c>
      <c r="K212" s="76">
        <v>9.6822107608264414</v>
      </c>
      <c r="L212" s="76">
        <v>1.6546220282601398</v>
      </c>
      <c r="M212" s="76">
        <f t="shared" si="7"/>
        <v>6.0792864179568378</v>
      </c>
      <c r="N212" s="76">
        <f t="shared" si="2"/>
        <v>23.872661201145331</v>
      </c>
      <c r="O212" s="76">
        <f t="shared" si="3"/>
        <v>4.0796706529485443</v>
      </c>
      <c r="P212" s="76">
        <f t="shared" si="4"/>
        <v>93.745205217063344</v>
      </c>
      <c r="Q212" s="76">
        <f t="shared" si="5"/>
        <v>16.020399207120796</v>
      </c>
      <c r="R212" s="76">
        <f t="shared" si="6"/>
        <v>2.737774056403699</v>
      </c>
      <c r="S212" s="79">
        <v>987</v>
      </c>
      <c r="T212" s="78">
        <v>80.400000000000006</v>
      </c>
    </row>
    <row r="213" spans="2:20" ht="15" x14ac:dyDescent="0.25">
      <c r="B213" s="75">
        <v>5</v>
      </c>
      <c r="C213" s="76">
        <v>3.5880916776024661</v>
      </c>
      <c r="D213" s="76">
        <v>3.9988097781304361</v>
      </c>
      <c r="E213" s="76">
        <v>3.9327066866054263</v>
      </c>
      <c r="F213" s="79">
        <v>1213</v>
      </c>
      <c r="G213" s="78">
        <v>67.8</v>
      </c>
      <c r="I213" s="75">
        <v>5</v>
      </c>
      <c r="J213" s="76">
        <v>3.5880916776024661</v>
      </c>
      <c r="K213" s="76">
        <v>3.9988097781304361</v>
      </c>
      <c r="L213" s="76">
        <v>3.9327066866054263</v>
      </c>
      <c r="M213" s="76">
        <f t="shared" si="7"/>
        <v>12.874401886880079</v>
      </c>
      <c r="N213" s="76">
        <f t="shared" si="2"/>
        <v>14.348096085225182</v>
      </c>
      <c r="O213" s="76">
        <f t="shared" si="3"/>
        <v>14.1109121326605</v>
      </c>
      <c r="P213" s="76">
        <f t="shared" si="4"/>
        <v>15.990479641671588</v>
      </c>
      <c r="Q213" s="76">
        <f t="shared" si="5"/>
        <v>15.726145952916728</v>
      </c>
      <c r="R213" s="76">
        <f t="shared" si="6"/>
        <v>15.46618188287103</v>
      </c>
      <c r="S213" s="79">
        <v>1213</v>
      </c>
      <c r="T213" s="78">
        <v>67.8</v>
      </c>
    </row>
    <row r="214" spans="2:20" ht="15" x14ac:dyDescent="0.25">
      <c r="B214" s="75">
        <v>6</v>
      </c>
      <c r="C214" s="76">
        <v>6.419904171880245</v>
      </c>
      <c r="D214" s="76">
        <v>2.4700155644398327</v>
      </c>
      <c r="E214" s="76">
        <v>4.3583788567766346</v>
      </c>
      <c r="F214" s="79">
        <v>2370</v>
      </c>
      <c r="G214" s="78">
        <v>74.2</v>
      </c>
      <c r="I214" s="75">
        <v>6</v>
      </c>
      <c r="J214" s="76">
        <v>6.419904171880245</v>
      </c>
      <c r="K214" s="76">
        <v>2.4700155644398327</v>
      </c>
      <c r="L214" s="76">
        <v>4.3583788567766346</v>
      </c>
      <c r="M214" s="76">
        <f t="shared" si="7"/>
        <v>41.215169576125376</v>
      </c>
      <c r="N214" s="76">
        <f t="shared" si="2"/>
        <v>15.85726322675642</v>
      </c>
      <c r="O214" s="76">
        <f t="shared" si="3"/>
        <v>27.980374605254969</v>
      </c>
      <c r="P214" s="76">
        <f t="shared" si="4"/>
        <v>6.1009768885750253</v>
      </c>
      <c r="Q214" s="76">
        <f t="shared" si="5"/>
        <v>10.765263611963771</v>
      </c>
      <c r="R214" s="76">
        <f t="shared" si="6"/>
        <v>18.995466259197606</v>
      </c>
      <c r="S214" s="79">
        <v>2370</v>
      </c>
      <c r="T214" s="78">
        <v>74.2</v>
      </c>
    </row>
    <row r="215" spans="2:20" ht="15" x14ac:dyDescent="0.25">
      <c r="B215" s="75">
        <v>7</v>
      </c>
      <c r="C215" s="76">
        <v>3.5703299050874353</v>
      </c>
      <c r="D215" s="76">
        <v>8.0847499008148453</v>
      </c>
      <c r="E215" s="76">
        <v>3.7064424573503829</v>
      </c>
      <c r="F215" s="79">
        <v>1545</v>
      </c>
      <c r="G215" s="78">
        <v>85.3</v>
      </c>
      <c r="I215" s="75">
        <v>7</v>
      </c>
      <c r="J215" s="76">
        <v>3.5703299050874353</v>
      </c>
      <c r="K215" s="76">
        <v>8.0847499008148453</v>
      </c>
      <c r="L215" s="76">
        <v>3.7064424573503829</v>
      </c>
      <c r="M215" s="76">
        <f t="shared" si="7"/>
        <v>12.747255631161655</v>
      </c>
      <c r="N215" s="76">
        <f t="shared" si="2"/>
        <v>28.865224346031919</v>
      </c>
      <c r="O215" s="76">
        <f t="shared" si="3"/>
        <v>13.233222346963833</v>
      </c>
      <c r="P215" s="76">
        <f t="shared" si="4"/>
        <v>65.36318095872565</v>
      </c>
      <c r="Q215" s="76">
        <f t="shared" si="5"/>
        <v>29.965660289439441</v>
      </c>
      <c r="R215" s="76">
        <f t="shared" si="6"/>
        <v>13.737715689649544</v>
      </c>
      <c r="S215" s="79">
        <v>1545</v>
      </c>
      <c r="T215" s="78">
        <v>85.3</v>
      </c>
    </row>
    <row r="216" spans="2:20" ht="15" x14ac:dyDescent="0.25">
      <c r="B216" s="75">
        <v>8</v>
      </c>
      <c r="C216" s="76">
        <v>3.4524063844721824</v>
      </c>
      <c r="D216" s="76">
        <v>3.7774285103915526</v>
      </c>
      <c r="E216" s="76">
        <v>8.0806604205450618</v>
      </c>
      <c r="F216" s="79">
        <v>642</v>
      </c>
      <c r="G216" s="78">
        <v>37</v>
      </c>
      <c r="I216" s="75">
        <v>8</v>
      </c>
      <c r="J216" s="76">
        <v>3.4524063844721824</v>
      </c>
      <c r="K216" s="76">
        <v>3.7774285103915526</v>
      </c>
      <c r="L216" s="76">
        <v>8.0806604205450618</v>
      </c>
      <c r="M216" s="76">
        <f t="shared" si="7"/>
        <v>11.919109843544286</v>
      </c>
      <c r="N216" s="76">
        <f t="shared" si="2"/>
        <v>13.041218306163042</v>
      </c>
      <c r="O216" s="76">
        <f t="shared" si="3"/>
        <v>27.89772362664144</v>
      </c>
      <c r="P216" s="76">
        <f t="shared" si="4"/>
        <v>14.268966151118944</v>
      </c>
      <c r="Q216" s="76">
        <f t="shared" si="5"/>
        <v>30.524117055359511</v>
      </c>
      <c r="R216" s="76">
        <f t="shared" si="6"/>
        <v>65.297072832163494</v>
      </c>
      <c r="S216" s="79">
        <v>642</v>
      </c>
      <c r="T216" s="78">
        <v>37</v>
      </c>
    </row>
    <row r="217" spans="2:20" ht="15" x14ac:dyDescent="0.25">
      <c r="B217" s="75">
        <v>9</v>
      </c>
      <c r="C217" s="76">
        <v>1.9948423718985566</v>
      </c>
      <c r="D217" s="76">
        <v>8.7230750450148022</v>
      </c>
      <c r="E217" s="76">
        <v>2.3280434583574938</v>
      </c>
      <c r="F217" s="79">
        <v>777</v>
      </c>
      <c r="G217" s="78">
        <v>85.1</v>
      </c>
      <c r="I217" s="75">
        <v>9</v>
      </c>
      <c r="J217" s="76">
        <v>1.9948423718985566</v>
      </c>
      <c r="K217" s="76">
        <v>8.7230750450148022</v>
      </c>
      <c r="L217" s="76">
        <v>2.3280434583574938</v>
      </c>
      <c r="M217" s="76">
        <f t="shared" si="7"/>
        <v>3.9793960887218591</v>
      </c>
      <c r="N217" s="76">
        <f t="shared" si="2"/>
        <v>17.401159713046436</v>
      </c>
      <c r="O217" s="76">
        <f t="shared" si="3"/>
        <v>4.6440797343527818</v>
      </c>
      <c r="P217" s="76">
        <f t="shared" si="4"/>
        <v>76.092038240959994</v>
      </c>
      <c r="Q217" s="76">
        <f t="shared" si="5"/>
        <v>20.307697795308211</v>
      </c>
      <c r="R217" s="76">
        <f t="shared" si="6"/>
        <v>5.4197863440011202</v>
      </c>
      <c r="S217" s="79">
        <v>777</v>
      </c>
      <c r="T217" s="78">
        <v>85.1</v>
      </c>
    </row>
    <row r="218" spans="2:20" ht="15" x14ac:dyDescent="0.25">
      <c r="B218" s="75">
        <v>10</v>
      </c>
      <c r="C218" s="76">
        <v>2.2352671895504623</v>
      </c>
      <c r="D218" s="76">
        <v>5.4177373577074492</v>
      </c>
      <c r="E218" s="76">
        <v>3.0998260444959866</v>
      </c>
      <c r="F218" s="79">
        <v>895</v>
      </c>
      <c r="G218" s="78">
        <v>77.5</v>
      </c>
      <c r="I218" s="75">
        <v>10</v>
      </c>
      <c r="J218" s="76">
        <v>2.2352671895504623</v>
      </c>
      <c r="K218" s="76">
        <v>5.4177373577074492</v>
      </c>
      <c r="L218" s="76">
        <v>3.0998260444959866</v>
      </c>
      <c r="M218" s="76">
        <f t="shared" si="7"/>
        <v>4.9964194086808229</v>
      </c>
      <c r="N218" s="76">
        <f t="shared" si="2"/>
        <v>12.110090557285277</v>
      </c>
      <c r="O218" s="76">
        <f t="shared" si="3"/>
        <v>6.9289394505758706</v>
      </c>
      <c r="P218" s="76">
        <f t="shared" si="4"/>
        <v>29.351878077098895</v>
      </c>
      <c r="Q218" s="76">
        <f t="shared" si="5"/>
        <v>16.794043363660421</v>
      </c>
      <c r="R218" s="76">
        <f t="shared" si="6"/>
        <v>9.6089215061356352</v>
      </c>
      <c r="S218" s="79">
        <v>895</v>
      </c>
      <c r="T218" s="78">
        <v>77.5</v>
      </c>
    </row>
    <row r="219" spans="2:20" ht="15" x14ac:dyDescent="0.25">
      <c r="B219" s="75">
        <v>11</v>
      </c>
      <c r="C219" s="76">
        <v>3.605487228003784</v>
      </c>
      <c r="D219" s="76">
        <v>4.4305856501968446</v>
      </c>
      <c r="E219" s="76">
        <v>5.8700521866512041</v>
      </c>
      <c r="F219" s="79">
        <v>1085</v>
      </c>
      <c r="G219" s="78">
        <v>60.3</v>
      </c>
      <c r="I219" s="75">
        <v>11</v>
      </c>
      <c r="J219" s="76">
        <v>3.605487228003784</v>
      </c>
      <c r="K219" s="76">
        <v>4.4305856501968446</v>
      </c>
      <c r="L219" s="76">
        <v>5.8700521866512041</v>
      </c>
      <c r="M219" s="76">
        <f t="shared" si="7"/>
        <v>12.99953815129841</v>
      </c>
      <c r="N219" s="76">
        <f t="shared" si="2"/>
        <v>15.974419974361563</v>
      </c>
      <c r="O219" s="76">
        <f t="shared" si="3"/>
        <v>21.164398186686601</v>
      </c>
      <c r="P219" s="76">
        <f t="shared" si="4"/>
        <v>19.630089203730197</v>
      </c>
      <c r="Q219" s="76">
        <f t="shared" si="5"/>
        <v>26.007768984083434</v>
      </c>
      <c r="R219" s="76">
        <f t="shared" si="6"/>
        <v>34.457512674008584</v>
      </c>
      <c r="S219" s="79">
        <v>1085</v>
      </c>
      <c r="T219" s="78">
        <v>60.3</v>
      </c>
    </row>
    <row r="220" spans="2:20" ht="15" x14ac:dyDescent="0.25">
      <c r="B220" s="75">
        <v>12</v>
      </c>
      <c r="C220" s="76">
        <v>3.1317789239173557</v>
      </c>
      <c r="D220" s="76">
        <v>9.5267494735557126</v>
      </c>
      <c r="E220" s="76">
        <v>10.914334543900877</v>
      </c>
      <c r="F220" s="79">
        <v>942</v>
      </c>
      <c r="G220" s="78">
        <v>60.3</v>
      </c>
      <c r="I220" s="75">
        <v>12</v>
      </c>
      <c r="J220" s="76">
        <v>3.1317789239173557</v>
      </c>
      <c r="K220" s="76">
        <v>9.5267494735557126</v>
      </c>
      <c r="L220" s="76">
        <v>10.914334543900877</v>
      </c>
      <c r="M220" s="76">
        <f t="shared" si="7"/>
        <v>9.8080392282929498</v>
      </c>
      <c r="N220" s="76">
        <f t="shared" si="2"/>
        <v>29.835673214722544</v>
      </c>
      <c r="O220" s="76">
        <f t="shared" si="3"/>
        <v>34.181282893171911</v>
      </c>
      <c r="P220" s="76">
        <f t="shared" si="4"/>
        <v>90.758955531894046</v>
      </c>
      <c r="Q220" s="76">
        <f t="shared" si="5"/>
        <v>103.97813087031861</v>
      </c>
      <c r="R220" s="76">
        <f t="shared" si="6"/>
        <v>119.12269853618795</v>
      </c>
      <c r="S220" s="79">
        <v>942</v>
      </c>
      <c r="T220" s="78">
        <v>60.3</v>
      </c>
    </row>
    <row r="221" spans="2:20" ht="15" x14ac:dyDescent="0.25">
      <c r="B221" s="75">
        <v>13</v>
      </c>
      <c r="C221" s="76">
        <v>2.9094821008941922</v>
      </c>
      <c r="D221" s="76">
        <v>3.0534073915829953</v>
      </c>
      <c r="E221" s="76">
        <v>7.3844111453596613</v>
      </c>
      <c r="F221" s="79">
        <v>274</v>
      </c>
      <c r="G221" s="78">
        <v>19.3</v>
      </c>
      <c r="I221" s="75">
        <v>13</v>
      </c>
      <c r="J221" s="76">
        <v>2.9094821008941922</v>
      </c>
      <c r="K221" s="76">
        <v>3.0534073915829953</v>
      </c>
      <c r="L221" s="76">
        <v>7.3844111453596613</v>
      </c>
      <c r="M221" s="76">
        <f t="shared" si="7"/>
        <v>8.4650860954236826</v>
      </c>
      <c r="N221" s="76">
        <f t="shared" si="2"/>
        <v>8.883834152548749</v>
      </c>
      <c r="O221" s="76">
        <f t="shared" si="3"/>
        <v>21.484812053067515</v>
      </c>
      <c r="P221" s="76">
        <f t="shared" si="4"/>
        <v>9.323296698973671</v>
      </c>
      <c r="Q221" s="76">
        <f t="shared" si="5"/>
        <v>22.547615573729043</v>
      </c>
      <c r="R221" s="76">
        <f t="shared" si="6"/>
        <v>54.529527963711985</v>
      </c>
      <c r="S221" s="79">
        <v>274</v>
      </c>
      <c r="T221" s="78">
        <v>19.3</v>
      </c>
    </row>
    <row r="222" spans="2:20" ht="15" x14ac:dyDescent="0.25">
      <c r="B222" s="75">
        <v>14</v>
      </c>
      <c r="C222" s="76">
        <v>1.7073580126346628</v>
      </c>
      <c r="D222" s="76">
        <v>8.8738670003357036</v>
      </c>
      <c r="E222" s="76">
        <v>9.6729026154362625</v>
      </c>
      <c r="F222" s="79">
        <v>260</v>
      </c>
      <c r="G222" s="78">
        <v>31.1</v>
      </c>
      <c r="I222" s="75">
        <v>14</v>
      </c>
      <c r="J222" s="76">
        <v>1.7073580126346628</v>
      </c>
      <c r="K222" s="76">
        <v>8.8738670003357036</v>
      </c>
      <c r="L222" s="76">
        <v>9.6729026154362625</v>
      </c>
      <c r="M222" s="76">
        <f t="shared" si="7"/>
        <v>2.9150713833077853</v>
      </c>
      <c r="N222" s="76">
        <f t="shared" si="2"/>
        <v>15.150867926077483</v>
      </c>
      <c r="O222" s="76">
        <f t="shared" si="3"/>
        <v>16.51510778589989</v>
      </c>
      <c r="P222" s="76">
        <f t="shared" si="4"/>
        <v>78.745515539646973</v>
      </c>
      <c r="Q222" s="76">
        <f t="shared" si="5"/>
        <v>85.836051316580765</v>
      </c>
      <c r="R222" s="76">
        <f t="shared" si="6"/>
        <v>93.565045007713692</v>
      </c>
      <c r="S222" s="79">
        <v>260</v>
      </c>
      <c r="T222" s="78">
        <v>31.1</v>
      </c>
    </row>
    <row r="223" spans="2:20" ht="15" x14ac:dyDescent="0.25">
      <c r="B223" s="75">
        <v>15</v>
      </c>
      <c r="C223" s="76">
        <v>4.3188879055146945</v>
      </c>
      <c r="D223" s="76">
        <v>7.1756035035248882</v>
      </c>
      <c r="E223" s="76">
        <v>8.6899624622333445</v>
      </c>
      <c r="F223" s="79">
        <v>1511</v>
      </c>
      <c r="G223" s="78">
        <v>70.2</v>
      </c>
      <c r="I223" s="75">
        <v>15</v>
      </c>
      <c r="J223" s="76">
        <v>4.3188879055146945</v>
      </c>
      <c r="K223" s="76">
        <v>7.1756035035248882</v>
      </c>
      <c r="L223" s="76">
        <v>8.6899624622333445</v>
      </c>
      <c r="M223" s="76">
        <f t="shared" si="7"/>
        <v>18.652792740401104</v>
      </c>
      <c r="N223" s="76">
        <f t="shared" si="2"/>
        <v>30.990627186142508</v>
      </c>
      <c r="O223" s="76">
        <f t="shared" si="3"/>
        <v>37.530973777516287</v>
      </c>
      <c r="P223" s="76">
        <f t="shared" si="4"/>
        <v>51.489285639798652</v>
      </c>
      <c r="Q223" s="76">
        <f t="shared" si="5"/>
        <v>62.355725089501348</v>
      </c>
      <c r="R223" s="76">
        <f t="shared" si="6"/>
        <v>75.515447595024611</v>
      </c>
      <c r="S223" s="79">
        <v>1511</v>
      </c>
      <c r="T223" s="78">
        <v>70.2</v>
      </c>
    </row>
    <row r="224" spans="2:20" ht="15" x14ac:dyDescent="0.25">
      <c r="B224" s="75">
        <v>16</v>
      </c>
      <c r="C224" s="76">
        <v>4.2707296975615714</v>
      </c>
      <c r="D224" s="76">
        <v>8.5895870845667908</v>
      </c>
      <c r="E224" s="76">
        <v>1.5465254676961577</v>
      </c>
      <c r="F224" s="79">
        <v>2050</v>
      </c>
      <c r="G224" s="78">
        <v>94.1</v>
      </c>
      <c r="I224" s="75">
        <v>16</v>
      </c>
      <c r="J224" s="76">
        <v>4.2707296975615714</v>
      </c>
      <c r="K224" s="76">
        <v>8.5895870845667908</v>
      </c>
      <c r="L224" s="76">
        <v>1.5465254676961577</v>
      </c>
      <c r="M224" s="76">
        <f t="shared" si="7"/>
        <v>18.239132149634351</v>
      </c>
      <c r="N224" s="76">
        <f t="shared" si="2"/>
        <v>36.683804651850707</v>
      </c>
      <c r="O224" s="76">
        <f t="shared" si="3"/>
        <v>6.6047922429252797</v>
      </c>
      <c r="P224" s="76">
        <f t="shared" si="4"/>
        <v>73.781006283356618</v>
      </c>
      <c r="Q224" s="76">
        <f t="shared" si="5"/>
        <v>13.284015183276532</v>
      </c>
      <c r="R224" s="76">
        <f t="shared" si="6"/>
        <v>2.3917410222328193</v>
      </c>
      <c r="S224" s="79">
        <v>2050</v>
      </c>
      <c r="T224" s="78">
        <v>94.1</v>
      </c>
    </row>
    <row r="225" spans="2:20" ht="15" x14ac:dyDescent="0.25">
      <c r="B225" s="75">
        <v>17</v>
      </c>
      <c r="C225" s="76">
        <v>5.6512039551988273</v>
      </c>
      <c r="D225" s="76">
        <v>6.0678731650746176</v>
      </c>
      <c r="E225" s="76">
        <v>3.0820337534714803</v>
      </c>
      <c r="F225" s="79">
        <v>2603</v>
      </c>
      <c r="G225" s="78">
        <v>91.1</v>
      </c>
      <c r="I225" s="75">
        <v>17</v>
      </c>
      <c r="J225" s="76">
        <v>5.6512039551988273</v>
      </c>
      <c r="K225" s="76">
        <v>6.0678731650746176</v>
      </c>
      <c r="L225" s="76">
        <v>3.0820337534714803</v>
      </c>
      <c r="M225" s="76">
        <f t="shared" si="7"/>
        <v>31.936106143254868</v>
      </c>
      <c r="N225" s="76">
        <f t="shared" si="2"/>
        <v>34.290788830114508</v>
      </c>
      <c r="O225" s="76">
        <f t="shared" si="3"/>
        <v>17.417201337674317</v>
      </c>
      <c r="P225" s="76">
        <f t="shared" si="4"/>
        <v>36.819084747432655</v>
      </c>
      <c r="Q225" s="76">
        <f t="shared" si="5"/>
        <v>18.701389906543795</v>
      </c>
      <c r="R225" s="76">
        <f t="shared" si="6"/>
        <v>9.4989320575375018</v>
      </c>
      <c r="S225" s="79">
        <v>2603</v>
      </c>
      <c r="T225" s="78">
        <v>91.1</v>
      </c>
    </row>
    <row r="226" spans="2:20" ht="15" x14ac:dyDescent="0.25">
      <c r="B226" s="75">
        <v>18</v>
      </c>
      <c r="C226" s="76">
        <v>5.0183721427045498</v>
      </c>
      <c r="D226" s="76">
        <v>4.9345988341929381</v>
      </c>
      <c r="E226" s="76">
        <v>5.1744743186742754</v>
      </c>
      <c r="F226" s="79">
        <v>2049</v>
      </c>
      <c r="G226" s="78">
        <v>80.400000000000006</v>
      </c>
      <c r="I226" s="75">
        <v>18</v>
      </c>
      <c r="J226" s="76">
        <v>5.0183721427045498</v>
      </c>
      <c r="K226" s="76">
        <v>4.9345988341929381</v>
      </c>
      <c r="L226" s="76">
        <v>5.1744743186742754</v>
      </c>
      <c r="M226" s="76">
        <f t="shared" si="7"/>
        <v>25.184058962673053</v>
      </c>
      <c r="N226" s="76">
        <f t="shared" si="2"/>
        <v>24.76365332493619</v>
      </c>
      <c r="O226" s="76">
        <f t="shared" si="3"/>
        <v>25.967437773975089</v>
      </c>
      <c r="P226" s="76">
        <f t="shared" si="4"/>
        <v>24.350265654418305</v>
      </c>
      <c r="Q226" s="76">
        <f t="shared" si="5"/>
        <v>25.533954940491377</v>
      </c>
      <c r="R226" s="76">
        <f t="shared" si="6"/>
        <v>26.775184474619607</v>
      </c>
      <c r="S226" s="79">
        <v>2049</v>
      </c>
      <c r="T226" s="78">
        <v>80.400000000000006</v>
      </c>
    </row>
    <row r="227" spans="2:20" ht="15" x14ac:dyDescent="0.25">
      <c r="B227" s="75">
        <v>19</v>
      </c>
      <c r="C227" s="76">
        <v>1.7450788903469954</v>
      </c>
      <c r="D227" s="76">
        <v>4.5426496169927066</v>
      </c>
      <c r="E227" s="76">
        <v>11.258430738242744</v>
      </c>
      <c r="F227" s="79">
        <v>0</v>
      </c>
      <c r="G227" s="78">
        <v>0</v>
      </c>
      <c r="I227" s="75">
        <v>19</v>
      </c>
      <c r="J227" s="76">
        <v>1.7450788903469954</v>
      </c>
      <c r="K227" s="76">
        <v>4.5426496169927066</v>
      </c>
      <c r="L227" s="76">
        <v>11.258430738242744</v>
      </c>
      <c r="M227" s="76">
        <f t="shared" si="7"/>
        <v>3.0453003335347009</v>
      </c>
      <c r="N227" s="76">
        <f t="shared" si="2"/>
        <v>7.9272819528568359</v>
      </c>
      <c r="O227" s="76">
        <f t="shared" si="3"/>
        <v>19.646849819741153</v>
      </c>
      <c r="P227" s="76">
        <f t="shared" si="4"/>
        <v>20.635665542763984</v>
      </c>
      <c r="Q227" s="76">
        <f t="shared" si="5"/>
        <v>51.143106081017315</v>
      </c>
      <c r="R227" s="76">
        <f t="shared" si="6"/>
        <v>126.75226268780905</v>
      </c>
      <c r="S227" s="79">
        <v>0</v>
      </c>
      <c r="T227" s="78">
        <v>0</v>
      </c>
    </row>
    <row r="228" spans="2:20" ht="15" x14ac:dyDescent="0.25">
      <c r="B228" s="75">
        <v>20</v>
      </c>
      <c r="C228" s="76">
        <v>2.0221259193700978</v>
      </c>
      <c r="D228" s="76">
        <v>3.2530899990844446</v>
      </c>
      <c r="E228" s="76">
        <v>7.0500503555406357</v>
      </c>
      <c r="F228" s="79">
        <v>12</v>
      </c>
      <c r="G228" s="78">
        <v>1.2</v>
      </c>
      <c r="I228" s="75">
        <v>20</v>
      </c>
      <c r="J228" s="76">
        <v>2.0221259193700978</v>
      </c>
      <c r="K228" s="76">
        <v>3.2530899990844446</v>
      </c>
      <c r="L228" s="76">
        <v>7.0500503555406357</v>
      </c>
      <c r="M228" s="76">
        <f t="shared" si="7"/>
        <v>4.0889932337883632</v>
      </c>
      <c r="N228" s="76">
        <f t="shared" si="2"/>
        <v>6.5781576051923034</v>
      </c>
      <c r="O228" s="76">
        <f t="shared" si="3"/>
        <v>14.256089556803094</v>
      </c>
      <c r="P228" s="76">
        <f t="shared" si="4"/>
        <v>10.582594542143232</v>
      </c>
      <c r="Q228" s="76">
        <f t="shared" si="5"/>
        <v>22.934448304650974</v>
      </c>
      <c r="R228" s="76">
        <f t="shared" si="6"/>
        <v>49.703210015658648</v>
      </c>
      <c r="S228" s="79">
        <v>12</v>
      </c>
      <c r="T228" s="78">
        <v>1.2</v>
      </c>
    </row>
    <row r="229" spans="2:20" ht="15" x14ac:dyDescent="0.25">
      <c r="B229" s="75">
        <v>21</v>
      </c>
      <c r="C229" s="76">
        <v>5.991424298837245</v>
      </c>
      <c r="D229" s="76">
        <v>6.532609027375103</v>
      </c>
      <c r="E229" s="76">
        <v>5.6642658772545547</v>
      </c>
      <c r="F229" s="79">
        <v>2569</v>
      </c>
      <c r="G229" s="78">
        <v>84.3</v>
      </c>
      <c r="I229" s="75">
        <v>21</v>
      </c>
      <c r="J229" s="76">
        <v>5.991424298837245</v>
      </c>
      <c r="K229" s="76">
        <v>6.532609027375103</v>
      </c>
      <c r="L229" s="76">
        <v>5.6642658772545547</v>
      </c>
      <c r="M229" s="76">
        <f t="shared" si="7"/>
        <v>35.897165128697374</v>
      </c>
      <c r="N229" s="76">
        <f t="shared" si="2"/>
        <v>39.139632461418735</v>
      </c>
      <c r="O229" s="76">
        <f t="shared" si="3"/>
        <v>33.937020212057604</v>
      </c>
      <c r="P229" s="76">
        <f t="shared" si="4"/>
        <v>42.674980704542691</v>
      </c>
      <c r="Q229" s="76">
        <f t="shared" si="5"/>
        <v>37.002434403205861</v>
      </c>
      <c r="R229" s="76">
        <f t="shared" si="6"/>
        <v>32.08390792823031</v>
      </c>
      <c r="S229" s="79">
        <v>2569</v>
      </c>
      <c r="T229" s="78">
        <v>84.3</v>
      </c>
    </row>
    <row r="230" spans="2:20" ht="15" x14ac:dyDescent="0.25">
      <c r="B230" s="75">
        <v>22</v>
      </c>
      <c r="C230" s="76">
        <v>6.1640980254524367</v>
      </c>
      <c r="D230" s="76">
        <v>8.9178136539811383</v>
      </c>
      <c r="E230" s="76">
        <v>5.999633777886288</v>
      </c>
      <c r="F230" s="79">
        <v>2710</v>
      </c>
      <c r="G230" s="78">
        <v>88.6</v>
      </c>
      <c r="I230" s="75">
        <v>22</v>
      </c>
      <c r="J230" s="76">
        <v>6.1640980254524367</v>
      </c>
      <c r="K230" s="76">
        <v>8.9178136539811383</v>
      </c>
      <c r="L230" s="76">
        <v>5.999633777886288</v>
      </c>
      <c r="M230" s="76">
        <f t="shared" si="7"/>
        <v>37.99610446738663</v>
      </c>
      <c r="N230" s="76">
        <f t="shared" si="2"/>
        <v>54.970277535857917</v>
      </c>
      <c r="O230" s="76">
        <f t="shared" si="3"/>
        <v>36.98233072370661</v>
      </c>
      <c r="P230" s="76">
        <f t="shared" si="4"/>
        <v>79.527400367132415</v>
      </c>
      <c r="Q230" s="76">
        <f t="shared" si="5"/>
        <v>53.503616023320781</v>
      </c>
      <c r="R230" s="76">
        <f t="shared" si="6"/>
        <v>35.995605468754093</v>
      </c>
      <c r="S230" s="79">
        <v>2710</v>
      </c>
      <c r="T230" s="78">
        <v>88.6</v>
      </c>
    </row>
    <row r="231" spans="2:20" ht="15" x14ac:dyDescent="0.25">
      <c r="B231" s="75">
        <v>23</v>
      </c>
      <c r="C231" s="76">
        <v>6.960631122775963</v>
      </c>
      <c r="D231" s="76">
        <v>1.227973265785699</v>
      </c>
      <c r="E231" s="76">
        <v>5.5172276985991999</v>
      </c>
      <c r="F231" s="79">
        <v>1000</v>
      </c>
      <c r="G231" s="78">
        <v>29.4</v>
      </c>
      <c r="I231" s="75">
        <v>23</v>
      </c>
      <c r="J231" s="76">
        <v>6.960631122775963</v>
      </c>
      <c r="K231" s="76">
        <v>1.227973265785699</v>
      </c>
      <c r="L231" s="76">
        <v>5.5172276985991999</v>
      </c>
      <c r="M231" s="76">
        <f t="shared" si="7"/>
        <v>48.450385627357363</v>
      </c>
      <c r="N231" s="76">
        <f t="shared" si="2"/>
        <v>8.5474689317647758</v>
      </c>
      <c r="O231" s="76">
        <f t="shared" si="3"/>
        <v>38.403386830311192</v>
      </c>
      <c r="P231" s="76">
        <f t="shared" si="4"/>
        <v>1.5079183414843949</v>
      </c>
      <c r="Q231" s="76">
        <f t="shared" si="5"/>
        <v>6.7750081151321755</v>
      </c>
      <c r="R231" s="76">
        <f t="shared" si="6"/>
        <v>30.439801478190223</v>
      </c>
      <c r="S231" s="79">
        <v>1000</v>
      </c>
      <c r="T231" s="78">
        <v>29.4</v>
      </c>
    </row>
    <row r="232" spans="2:20" ht="15" x14ac:dyDescent="0.25">
      <c r="B232" s="75">
        <v>24</v>
      </c>
      <c r="C232" s="76">
        <v>4.959776604510636</v>
      </c>
      <c r="D232" s="76">
        <v>2.9894100772118288</v>
      </c>
      <c r="E232" s="76">
        <v>10.717947935422833</v>
      </c>
      <c r="F232" s="79">
        <v>567</v>
      </c>
      <c r="G232" s="78">
        <v>23.4</v>
      </c>
      <c r="I232" s="75">
        <v>24</v>
      </c>
      <c r="J232" s="76">
        <v>4.959776604510636</v>
      </c>
      <c r="K232" s="76">
        <v>2.9894100772118288</v>
      </c>
      <c r="L232" s="76">
        <v>10.717947935422833</v>
      </c>
      <c r="M232" s="76">
        <f t="shared" si="7"/>
        <v>24.599383966651054</v>
      </c>
      <c r="N232" s="76">
        <f t="shared" si="2"/>
        <v>14.826806162243562</v>
      </c>
      <c r="O232" s="76">
        <f t="shared" si="3"/>
        <v>53.158627418473237</v>
      </c>
      <c r="P232" s="76">
        <f t="shared" si="4"/>
        <v>8.9365726097356326</v>
      </c>
      <c r="Q232" s="76">
        <f t="shared" si="5"/>
        <v>32.040341565184733</v>
      </c>
      <c r="R232" s="76">
        <f t="shared" si="6"/>
        <v>114.87440794643457</v>
      </c>
      <c r="S232" s="79">
        <v>567</v>
      </c>
      <c r="T232" s="78">
        <v>23.4</v>
      </c>
    </row>
    <row r="233" spans="2:20" ht="15" x14ac:dyDescent="0.25">
      <c r="B233" s="75">
        <v>25</v>
      </c>
      <c r="C233" s="76">
        <v>5.7969603564561911</v>
      </c>
      <c r="D233" s="76">
        <v>8.854640339365826</v>
      </c>
      <c r="E233" s="76">
        <v>6.3887142551957767</v>
      </c>
      <c r="F233" s="79">
        <v>2617</v>
      </c>
      <c r="G233" s="78">
        <v>88</v>
      </c>
      <c r="I233" s="75">
        <v>25</v>
      </c>
      <c r="J233" s="76">
        <v>5.7969603564561911</v>
      </c>
      <c r="K233" s="76">
        <v>8.854640339365826</v>
      </c>
      <c r="L233" s="76">
        <v>6.3887142551957767</v>
      </c>
      <c r="M233" s="76">
        <f t="shared" si="7"/>
        <v>33.60474937432469</v>
      </c>
      <c r="N233" s="76">
        <f t="shared" si="2"/>
        <v>51.329999017981486</v>
      </c>
      <c r="O233" s="76">
        <f t="shared" si="3"/>
        <v>37.035123266096463</v>
      </c>
      <c r="P233" s="76">
        <f t="shared" si="4"/>
        <v>78.404655539524555</v>
      </c>
      <c r="Q233" s="76">
        <f t="shared" si="5"/>
        <v>56.569766960738022</v>
      </c>
      <c r="R233" s="76">
        <f t="shared" si="6"/>
        <v>40.81566983454173</v>
      </c>
      <c r="S233" s="79">
        <v>2617</v>
      </c>
      <c r="T233" s="78">
        <v>88</v>
      </c>
    </row>
    <row r="234" spans="2:20" ht="15" x14ac:dyDescent="0.25">
      <c r="B234" s="75">
        <v>26</v>
      </c>
      <c r="C234" s="76">
        <v>3.7783440656758325</v>
      </c>
      <c r="D234" s="76">
        <v>3.6346018860438858</v>
      </c>
      <c r="E234" s="76">
        <v>11.462874233222449</v>
      </c>
      <c r="F234" s="79">
        <v>362</v>
      </c>
      <c r="G234" s="78">
        <v>18.899999999999999</v>
      </c>
      <c r="I234" s="75">
        <v>26</v>
      </c>
      <c r="J234" s="76">
        <v>3.7783440656758325</v>
      </c>
      <c r="K234" s="76">
        <v>3.6346018860438858</v>
      </c>
      <c r="L234" s="76">
        <v>11.462874233222449</v>
      </c>
      <c r="M234" s="76">
        <f t="shared" si="7"/>
        <v>14.275883878627779</v>
      </c>
      <c r="N234" s="76">
        <f t="shared" si="2"/>
        <v>13.732776467228105</v>
      </c>
      <c r="O234" s="76">
        <f t="shared" si="3"/>
        <v>43.310682834684449</v>
      </c>
      <c r="P234" s="76">
        <f t="shared" si="4"/>
        <v>13.210330870033772</v>
      </c>
      <c r="Q234" s="76">
        <f t="shared" si="5"/>
        <v>41.662984307554176</v>
      </c>
      <c r="R234" s="76">
        <f t="shared" si="6"/>
        <v>131.39748568667514</v>
      </c>
      <c r="S234" s="79">
        <v>362</v>
      </c>
      <c r="T234" s="78">
        <v>18.899999999999999</v>
      </c>
    </row>
    <row r="235" spans="2:20" ht="15" x14ac:dyDescent="0.25">
      <c r="B235" s="75">
        <v>27</v>
      </c>
      <c r="C235" s="76">
        <v>2.3647267067476427</v>
      </c>
      <c r="D235" s="76">
        <v>2.2024903103732414</v>
      </c>
      <c r="E235" s="76">
        <v>2.7668080690939054</v>
      </c>
      <c r="F235" s="79">
        <v>458</v>
      </c>
      <c r="G235" s="78">
        <v>41.3</v>
      </c>
      <c r="I235" s="75">
        <v>27</v>
      </c>
      <c r="J235" s="76">
        <v>2.3647267067476427</v>
      </c>
      <c r="K235" s="76">
        <v>2.2024903103732414</v>
      </c>
      <c r="L235" s="76">
        <v>2.7668080690939054</v>
      </c>
      <c r="M235" s="76">
        <f t="shared" si="7"/>
        <v>5.5919323976055519</v>
      </c>
      <c r="N235" s="76">
        <f t="shared" si="2"/>
        <v>5.2082876582925088</v>
      </c>
      <c r="O235" s="76">
        <f t="shared" si="3"/>
        <v>6.5427449334312353</v>
      </c>
      <c r="P235" s="76">
        <f t="shared" si="4"/>
        <v>4.8509635672880176</v>
      </c>
      <c r="Q235" s="76">
        <f t="shared" si="5"/>
        <v>6.0938679628418244</v>
      </c>
      <c r="R235" s="76">
        <f t="shared" si="6"/>
        <v>7.6552268912031449</v>
      </c>
      <c r="S235" s="79">
        <v>458</v>
      </c>
      <c r="T235" s="78">
        <v>41.3</v>
      </c>
    </row>
    <row r="236" spans="2:20" ht="15" x14ac:dyDescent="0.25">
      <c r="B236" s="75">
        <v>28</v>
      </c>
      <c r="C236" s="76">
        <v>1.9864192632831812</v>
      </c>
      <c r="D236" s="76">
        <v>2.1717276528214362</v>
      </c>
      <c r="E236" s="76">
        <v>11.417889950254828</v>
      </c>
      <c r="F236" s="79">
        <v>0</v>
      </c>
      <c r="G236" s="78">
        <v>0</v>
      </c>
      <c r="I236" s="75">
        <v>28</v>
      </c>
      <c r="J236" s="76">
        <v>1.9864192632831812</v>
      </c>
      <c r="K236" s="76">
        <v>2.1717276528214362</v>
      </c>
      <c r="L236" s="76">
        <v>11.417889950254828</v>
      </c>
      <c r="M236" s="76">
        <f t="shared" si="7"/>
        <v>3.9458614895424962</v>
      </c>
      <c r="N236" s="76">
        <f t="shared" si="2"/>
        <v>4.3139616441692699</v>
      </c>
      <c r="O236" s="76">
        <f t="shared" si="3"/>
        <v>22.680716543233636</v>
      </c>
      <c r="P236" s="76">
        <f t="shared" si="4"/>
        <v>4.7164009980293047</v>
      </c>
      <c r="Q236" s="76">
        <f t="shared" si="5"/>
        <v>24.796547341840384</v>
      </c>
      <c r="R236" s="76">
        <f t="shared" si="6"/>
        <v>130.36821091613021</v>
      </c>
      <c r="S236" s="79">
        <v>0</v>
      </c>
      <c r="T236" s="78">
        <v>0</v>
      </c>
    </row>
    <row r="237" spans="2:20" ht="15" x14ac:dyDescent="0.25">
      <c r="B237" s="75">
        <v>29</v>
      </c>
      <c r="C237" s="76">
        <v>5.0582903530991548</v>
      </c>
      <c r="D237" s="76">
        <v>6.556505020294809</v>
      </c>
      <c r="E237" s="76">
        <v>3.8444166386913663</v>
      </c>
      <c r="F237" s="79">
        <v>2156</v>
      </c>
      <c r="G237" s="78">
        <v>87.5</v>
      </c>
      <c r="I237" s="75">
        <v>29</v>
      </c>
      <c r="J237" s="76">
        <v>5.0582903530991548</v>
      </c>
      <c r="K237" s="76">
        <v>6.556505020294809</v>
      </c>
      <c r="L237" s="76">
        <v>3.8444166386913663</v>
      </c>
      <c r="M237" s="76">
        <f t="shared" si="7"/>
        <v>25.586301296255971</v>
      </c>
      <c r="N237" s="76">
        <f t="shared" si="2"/>
        <v>33.16470609420341</v>
      </c>
      <c r="O237" s="76">
        <f t="shared" si="3"/>
        <v>19.446175596786418</v>
      </c>
      <c r="P237" s="76">
        <f t="shared" si="4"/>
        <v>42.987758081151036</v>
      </c>
      <c r="Q237" s="76">
        <f t="shared" si="5"/>
        <v>25.205936991684837</v>
      </c>
      <c r="R237" s="76">
        <f t="shared" si="6"/>
        <v>14.779539291847023</v>
      </c>
      <c r="S237" s="79">
        <v>2156</v>
      </c>
      <c r="T237" s="78">
        <v>87.5</v>
      </c>
    </row>
    <row r="238" spans="2:20" ht="15" x14ac:dyDescent="0.25">
      <c r="B238" s="75">
        <v>30</v>
      </c>
      <c r="C238" s="76">
        <v>4.7947935422833954</v>
      </c>
      <c r="D238" s="76">
        <v>2.088229010895108</v>
      </c>
      <c r="E238" s="76">
        <v>1.7147129734183784</v>
      </c>
      <c r="F238" s="79">
        <v>1927</v>
      </c>
      <c r="G238" s="78">
        <v>79.3</v>
      </c>
      <c r="I238" s="75">
        <v>30</v>
      </c>
      <c r="J238" s="76">
        <v>4.7947935422833954</v>
      </c>
      <c r="K238" s="76">
        <v>2.088229010895108</v>
      </c>
      <c r="L238" s="76">
        <v>1.7147129734183784</v>
      </c>
      <c r="M238" s="76">
        <f t="shared" si="7"/>
        <v>22.990045113122552</v>
      </c>
      <c r="N238" s="76">
        <f t="shared" si="2"/>
        <v>10.012626976248706</v>
      </c>
      <c r="O238" s="76">
        <f t="shared" si="3"/>
        <v>8.2216946918159994</v>
      </c>
      <c r="P238" s="76">
        <f t="shared" si="4"/>
        <v>4.3607004019439612</v>
      </c>
      <c r="Q238" s="76">
        <f t="shared" si="5"/>
        <v>3.5807133764504697</v>
      </c>
      <c r="R238" s="76">
        <f t="shared" si="6"/>
        <v>2.9402405812092964</v>
      </c>
      <c r="S238" s="79">
        <v>1927</v>
      </c>
      <c r="T238" s="78">
        <v>79.3</v>
      </c>
    </row>
    <row r="239" spans="2:20" x14ac:dyDescent="0.25">
      <c r="B239" s="86" t="s">
        <v>107</v>
      </c>
      <c r="C239" s="87"/>
      <c r="D239" s="87"/>
      <c r="L239" s="86" t="s">
        <v>108</v>
      </c>
      <c r="M239" s="87"/>
      <c r="N239" s="87"/>
    </row>
    <row r="240" spans="2:20" x14ac:dyDescent="0.25">
      <c r="B240" t="s">
        <v>74</v>
      </c>
      <c r="L240" t="s">
        <v>74</v>
      </c>
    </row>
    <row r="241" spans="2:20" ht="13.8" thickBot="1" x14ac:dyDescent="0.3"/>
    <row r="242" spans="2:20" x14ac:dyDescent="0.25">
      <c r="B242" s="85" t="s">
        <v>75</v>
      </c>
      <c r="C242" s="85"/>
      <c r="L242" s="85" t="s">
        <v>75</v>
      </c>
      <c r="M242" s="85"/>
    </row>
    <row r="243" spans="2:20" x14ac:dyDescent="0.25">
      <c r="B243" t="s">
        <v>76</v>
      </c>
      <c r="C243">
        <v>0.93832678604238673</v>
      </c>
      <c r="L243" t="s">
        <v>76</v>
      </c>
      <c r="M243">
        <v>0.98302581540446332</v>
      </c>
    </row>
    <row r="244" spans="2:20" x14ac:dyDescent="0.25">
      <c r="B244" t="s">
        <v>77</v>
      </c>
      <c r="C244">
        <v>0.88045715740463493</v>
      </c>
      <c r="H244">
        <v>6</v>
      </c>
      <c r="L244" t="s">
        <v>77</v>
      </c>
      <c r="M244">
        <v>0.96633975375160996</v>
      </c>
    </row>
    <row r="245" spans="2:20" x14ac:dyDescent="0.25">
      <c r="B245" t="s">
        <v>78</v>
      </c>
      <c r="C245">
        <v>0.86666375248978511</v>
      </c>
      <c r="L245" t="s">
        <v>78</v>
      </c>
      <c r="M245">
        <v>0.95119264293983452</v>
      </c>
    </row>
    <row r="246" spans="2:20" x14ac:dyDescent="0.25">
      <c r="B246" t="s">
        <v>79</v>
      </c>
      <c r="C246">
        <v>319.05994525134071</v>
      </c>
      <c r="L246" t="s">
        <v>79</v>
      </c>
      <c r="M246">
        <v>193.03711468385072</v>
      </c>
    </row>
    <row r="247" spans="2:20" ht="13.8" thickBot="1" x14ac:dyDescent="0.3">
      <c r="B247" s="83" t="s">
        <v>80</v>
      </c>
      <c r="C247" s="83">
        <v>30</v>
      </c>
      <c r="L247" s="83" t="s">
        <v>80</v>
      </c>
      <c r="M247" s="83">
        <v>30</v>
      </c>
    </row>
    <row r="249" spans="2:20" ht="13.8" thickBot="1" x14ac:dyDescent="0.3">
      <c r="B249" t="s">
        <v>81</v>
      </c>
      <c r="L249" t="s">
        <v>81</v>
      </c>
    </row>
    <row r="250" spans="2:20" x14ac:dyDescent="0.25">
      <c r="B250" s="84"/>
      <c r="C250" s="84" t="s">
        <v>86</v>
      </c>
      <c r="D250" s="84" t="s">
        <v>87</v>
      </c>
      <c r="E250" s="84" t="s">
        <v>88</v>
      </c>
      <c r="F250" s="84" t="s">
        <v>89</v>
      </c>
      <c r="G250" s="84" t="s">
        <v>90</v>
      </c>
      <c r="L250" s="84"/>
      <c r="M250" s="84" t="s">
        <v>86</v>
      </c>
      <c r="N250" s="84" t="s">
        <v>87</v>
      </c>
      <c r="O250" s="84" t="s">
        <v>88</v>
      </c>
      <c r="P250" s="84" t="s">
        <v>89</v>
      </c>
      <c r="Q250" s="84" t="s">
        <v>90</v>
      </c>
    </row>
    <row r="251" spans="2:20" x14ac:dyDescent="0.25">
      <c r="B251" t="s">
        <v>82</v>
      </c>
      <c r="C251">
        <v>3</v>
      </c>
      <c r="D251">
        <v>19494072.201408166</v>
      </c>
      <c r="E251">
        <v>6498024.0671360558</v>
      </c>
      <c r="F251">
        <v>63.83174878428644</v>
      </c>
      <c r="G251">
        <v>4.0169309869383901E-12</v>
      </c>
      <c r="L251" t="s">
        <v>82</v>
      </c>
      <c r="M251">
        <v>9</v>
      </c>
      <c r="N251">
        <v>21395586.113757346</v>
      </c>
      <c r="O251">
        <v>2377287.3459730386</v>
      </c>
      <c r="P251">
        <v>63.796968660212656</v>
      </c>
      <c r="Q251">
        <v>9.1623978255886612E-13</v>
      </c>
    </row>
    <row r="252" spans="2:20" x14ac:dyDescent="0.25">
      <c r="B252" t="s">
        <v>83</v>
      </c>
      <c r="C252">
        <v>26</v>
      </c>
      <c r="D252">
        <v>2646780.4652585015</v>
      </c>
      <c r="E252">
        <v>101799.24866378852</v>
      </c>
      <c r="L252" t="s">
        <v>83</v>
      </c>
      <c r="M252">
        <v>20</v>
      </c>
      <c r="N252">
        <v>745266.55290932267</v>
      </c>
      <c r="O252">
        <v>37263.327645466132</v>
      </c>
    </row>
    <row r="253" spans="2:20" ht="13.8" thickBot="1" x14ac:dyDescent="0.3">
      <c r="B253" s="83" t="s">
        <v>84</v>
      </c>
      <c r="C253" s="83">
        <v>29</v>
      </c>
      <c r="D253" s="83">
        <v>22140852.666666668</v>
      </c>
      <c r="E253" s="83"/>
      <c r="F253" s="83"/>
      <c r="G253" s="83"/>
      <c r="L253" s="83" t="s">
        <v>84</v>
      </c>
      <c r="M253" s="83">
        <v>29</v>
      </c>
      <c r="N253" s="83">
        <v>22140852.666666668</v>
      </c>
      <c r="O253" s="83"/>
      <c r="P253" s="83"/>
      <c r="Q253" s="83"/>
    </row>
    <row r="254" spans="2:20" ht="13.8" thickBot="1" x14ac:dyDescent="0.3"/>
    <row r="255" spans="2:20" x14ac:dyDescent="0.25">
      <c r="B255" s="84"/>
      <c r="C255" s="84" t="s">
        <v>91</v>
      </c>
      <c r="D255" s="84" t="s">
        <v>79</v>
      </c>
      <c r="E255" s="84" t="s">
        <v>92</v>
      </c>
      <c r="F255" s="84" t="s">
        <v>93</v>
      </c>
      <c r="G255" s="84" t="s">
        <v>94</v>
      </c>
      <c r="H255" s="84" t="s">
        <v>95</v>
      </c>
      <c r="I255" s="84" t="s">
        <v>96</v>
      </c>
      <c r="J255" s="84" t="s">
        <v>97</v>
      </c>
      <c r="L255" s="84"/>
      <c r="M255" s="84" t="s">
        <v>91</v>
      </c>
      <c r="N255" s="84" t="s">
        <v>79</v>
      </c>
      <c r="O255" s="84" t="s">
        <v>92</v>
      </c>
      <c r="P255" s="84" t="s">
        <v>93</v>
      </c>
      <c r="Q255" s="84" t="s">
        <v>94</v>
      </c>
      <c r="R255" s="84" t="s">
        <v>95</v>
      </c>
      <c r="S255" s="84" t="s">
        <v>96</v>
      </c>
      <c r="T255" s="84" t="s">
        <v>97</v>
      </c>
    </row>
    <row r="256" spans="2:20" x14ac:dyDescent="0.25">
      <c r="B256" t="s">
        <v>85</v>
      </c>
      <c r="C256">
        <v>-591.25799484489244</v>
      </c>
      <c r="D256">
        <v>256.35831120559897</v>
      </c>
      <c r="E256">
        <v>-2.3063734195483305</v>
      </c>
      <c r="F256">
        <v>2.9316698594430746E-2</v>
      </c>
      <c r="G256">
        <v>-1118.2100503687723</v>
      </c>
      <c r="H256">
        <v>-64.305939321012602</v>
      </c>
      <c r="I256">
        <v>-1118.2100503687723</v>
      </c>
      <c r="J256">
        <v>-64.305939321012602</v>
      </c>
      <c r="L256" t="s">
        <v>85</v>
      </c>
      <c r="M256">
        <v>-384.41378609878427</v>
      </c>
      <c r="N256">
        <v>595.64811829268342</v>
      </c>
      <c r="O256">
        <v>-0.6453706043773566</v>
      </c>
      <c r="P256">
        <v>0.52602236150837545</v>
      </c>
      <c r="Q256">
        <v>-1626.9139882900158</v>
      </c>
      <c r="R256">
        <v>858.08641609244717</v>
      </c>
      <c r="S256">
        <v>-1626.9139882900158</v>
      </c>
      <c r="T256">
        <v>858.08641609244717</v>
      </c>
    </row>
    <row r="257" spans="2:20" x14ac:dyDescent="0.25">
      <c r="B257" t="s">
        <v>98</v>
      </c>
      <c r="C257">
        <v>425.81404831913261</v>
      </c>
      <c r="D257">
        <v>38.08098123938364</v>
      </c>
      <c r="E257">
        <v>11.181803474085706</v>
      </c>
      <c r="F257">
        <v>1.9717864933637893E-11</v>
      </c>
      <c r="G257">
        <v>347.53747032917261</v>
      </c>
      <c r="H257">
        <v>504.09062630909261</v>
      </c>
      <c r="I257">
        <v>347.53747032917261</v>
      </c>
      <c r="J257">
        <v>504.09062630909261</v>
      </c>
      <c r="L257" t="s">
        <v>98</v>
      </c>
      <c r="M257">
        <v>422.52080353181316</v>
      </c>
      <c r="N257">
        <v>187.78034237399402</v>
      </c>
      <c r="O257">
        <v>2.2500800573166315</v>
      </c>
      <c r="P257">
        <v>3.5858313442433946E-2</v>
      </c>
      <c r="Q257">
        <v>30.817873224592233</v>
      </c>
      <c r="R257">
        <v>814.22373383903414</v>
      </c>
      <c r="S257">
        <v>30.817873224592233</v>
      </c>
      <c r="T257">
        <v>814.22373383903414</v>
      </c>
    </row>
    <row r="258" spans="2:20" x14ac:dyDescent="0.25">
      <c r="B258" t="s">
        <v>99</v>
      </c>
      <c r="C258">
        <v>117.96107549664463</v>
      </c>
      <c r="D258">
        <v>22.69913994458863</v>
      </c>
      <c r="E258">
        <v>5.1967200424598463</v>
      </c>
      <c r="F258">
        <v>2.0010295465889148E-5</v>
      </c>
      <c r="G258">
        <v>71.302325108668342</v>
      </c>
      <c r="H258">
        <v>164.61982588462092</v>
      </c>
      <c r="I258">
        <v>71.302325108668342</v>
      </c>
      <c r="J258">
        <v>164.61982588462092</v>
      </c>
      <c r="L258" t="s">
        <v>99</v>
      </c>
      <c r="M258">
        <v>188.03757604055752</v>
      </c>
      <c r="N258">
        <v>106.46278705713726</v>
      </c>
      <c r="O258">
        <v>1.7662281933276844</v>
      </c>
      <c r="P258">
        <v>9.2618382970175758E-2</v>
      </c>
      <c r="Q258">
        <v>-34.039906254680204</v>
      </c>
      <c r="R258">
        <v>410.11505833579525</v>
      </c>
      <c r="S258">
        <v>-34.039906254680204</v>
      </c>
      <c r="T258">
        <v>410.11505833579525</v>
      </c>
    </row>
    <row r="259" spans="2:20" ht="13.8" thickBot="1" x14ac:dyDescent="0.3">
      <c r="B259" s="83" t="s">
        <v>100</v>
      </c>
      <c r="C259" s="83">
        <v>-80.16623866693385</v>
      </c>
      <c r="D259" s="83">
        <v>18.371159554716041</v>
      </c>
      <c r="E259" s="83">
        <v>-4.3637005289823669</v>
      </c>
      <c r="F259" s="83">
        <v>1.8016886559822331E-4</v>
      </c>
      <c r="G259" s="83">
        <v>-117.92869795365797</v>
      </c>
      <c r="H259" s="83">
        <v>-42.403779380209734</v>
      </c>
      <c r="I259" s="83">
        <v>-117.92869795365797</v>
      </c>
      <c r="J259" s="83">
        <v>-42.403779380209734</v>
      </c>
      <c r="L259" t="s">
        <v>100</v>
      </c>
      <c r="M259">
        <v>-168.76331795847403</v>
      </c>
      <c r="N259">
        <v>91.872551979698102</v>
      </c>
      <c r="O259">
        <v>-1.8369285964296189</v>
      </c>
      <c r="P259">
        <v>8.1127946765063658E-2</v>
      </c>
      <c r="Q259">
        <v>-360.40610319515747</v>
      </c>
      <c r="R259">
        <v>22.879467278209376</v>
      </c>
      <c r="S259">
        <v>-360.40610319515747</v>
      </c>
      <c r="T259">
        <v>22.879467278209376</v>
      </c>
    </row>
    <row r="260" spans="2:20" x14ac:dyDescent="0.25">
      <c r="L260" t="s">
        <v>101</v>
      </c>
      <c r="M260">
        <v>-0.69808283224622669</v>
      </c>
      <c r="N260">
        <v>18.585395127970095</v>
      </c>
      <c r="O260">
        <v>-3.7560828136263123E-2</v>
      </c>
      <c r="P260">
        <v>0.97041023041467633</v>
      </c>
      <c r="Q260">
        <v>-39.466537722184938</v>
      </c>
      <c r="R260">
        <v>38.070372057692481</v>
      </c>
      <c r="S260">
        <v>-39.466537722184938</v>
      </c>
      <c r="T260">
        <v>38.070372057692481</v>
      </c>
    </row>
    <row r="261" spans="2:20" x14ac:dyDescent="0.25">
      <c r="B261" s="86" t="s">
        <v>109</v>
      </c>
      <c r="C261" s="87"/>
      <c r="D261" s="87"/>
      <c r="L261" t="s">
        <v>102</v>
      </c>
      <c r="M261">
        <v>33.710425836904932</v>
      </c>
      <c r="N261">
        <v>9.1643264932815001</v>
      </c>
      <c r="O261">
        <v>3.6784400753965425</v>
      </c>
      <c r="P261">
        <v>1.4901734822467328E-3</v>
      </c>
      <c r="Q261">
        <v>14.593975753109561</v>
      </c>
      <c r="R261">
        <v>52.826875920700303</v>
      </c>
      <c r="S261">
        <v>14.593975753109561</v>
      </c>
      <c r="T261">
        <v>52.826875920700303</v>
      </c>
    </row>
    <row r="262" spans="2:20" x14ac:dyDescent="0.25">
      <c r="B262" t="s">
        <v>74</v>
      </c>
      <c r="L262" t="s">
        <v>103</v>
      </c>
      <c r="M262">
        <v>-26.832436546823729</v>
      </c>
      <c r="N262">
        <v>9.5230636196870329</v>
      </c>
      <c r="O262">
        <v>-2.8176265137358762</v>
      </c>
      <c r="P262">
        <v>1.0634012691094621E-2</v>
      </c>
      <c r="Q262">
        <v>-46.697199163478231</v>
      </c>
      <c r="R262">
        <v>-6.967673930169223</v>
      </c>
      <c r="S262">
        <v>-46.697199163478231</v>
      </c>
      <c r="T262">
        <v>-6.967673930169223</v>
      </c>
    </row>
    <row r="263" spans="2:20" ht="13.8" thickBot="1" x14ac:dyDescent="0.3">
      <c r="L263" t="s">
        <v>104</v>
      </c>
      <c r="M263">
        <v>-23.601684038157817</v>
      </c>
      <c r="N263">
        <v>7.740772821932393</v>
      </c>
      <c r="O263">
        <v>-3.0490087464246152</v>
      </c>
      <c r="P263">
        <v>6.3355041151295227E-3</v>
      </c>
      <c r="Q263">
        <v>-39.748653198297831</v>
      </c>
      <c r="R263">
        <v>-7.454714878017807</v>
      </c>
      <c r="S263">
        <v>-39.748653198297831</v>
      </c>
      <c r="T263">
        <v>-7.454714878017807</v>
      </c>
    </row>
    <row r="264" spans="2:20" x14ac:dyDescent="0.25">
      <c r="B264" s="85" t="s">
        <v>75</v>
      </c>
      <c r="C264" s="85"/>
      <c r="L264" t="s">
        <v>105</v>
      </c>
      <c r="M264">
        <v>10.954136573950908</v>
      </c>
      <c r="N264">
        <v>4.3450244546735934</v>
      </c>
      <c r="O264">
        <v>2.5210759313836366</v>
      </c>
      <c r="P264">
        <v>2.0297874057342236E-2</v>
      </c>
      <c r="Q264">
        <v>1.8905743840254949</v>
      </c>
      <c r="R264">
        <v>20.017698763876322</v>
      </c>
      <c r="S264">
        <v>1.8905743840254949</v>
      </c>
      <c r="T264">
        <v>20.017698763876322</v>
      </c>
    </row>
    <row r="265" spans="2:20" ht="13.8" thickBot="1" x14ac:dyDescent="0.3">
      <c r="B265" t="s">
        <v>76</v>
      </c>
      <c r="C265">
        <v>0.93158469502078245</v>
      </c>
      <c r="L265" s="83" t="s">
        <v>106</v>
      </c>
      <c r="M265" s="83">
        <v>8.1514954395258172</v>
      </c>
      <c r="N265" s="83">
        <v>5.1784785669758584</v>
      </c>
      <c r="O265" s="83">
        <v>1.5741101047534409</v>
      </c>
      <c r="P265" s="83">
        <v>0.13114871425105687</v>
      </c>
      <c r="Q265" s="83">
        <v>-2.6506215636355392</v>
      </c>
      <c r="R265" s="83">
        <v>18.953612442687174</v>
      </c>
      <c r="S265" s="83">
        <v>-2.6506215636355392</v>
      </c>
      <c r="T265" s="83">
        <v>18.953612442687174</v>
      </c>
    </row>
    <row r="266" spans="2:20" x14ac:dyDescent="0.25">
      <c r="B266" t="s">
        <v>77</v>
      </c>
      <c r="C266">
        <v>0.86785004399696419</v>
      </c>
    </row>
    <row r="267" spans="2:20" x14ac:dyDescent="0.25">
      <c r="B267" t="s">
        <v>78</v>
      </c>
      <c r="C267">
        <v>0.85260197215046007</v>
      </c>
      <c r="L267" s="86" t="s">
        <v>110</v>
      </c>
      <c r="M267" s="87"/>
      <c r="N267" s="87"/>
    </row>
    <row r="268" spans="2:20" x14ac:dyDescent="0.25">
      <c r="B268" t="s">
        <v>79</v>
      </c>
      <c r="C268">
        <v>11.769420198687019</v>
      </c>
      <c r="L268" t="s">
        <v>74</v>
      </c>
    </row>
    <row r="269" spans="2:20" ht="13.8" thickBot="1" x14ac:dyDescent="0.3">
      <c r="B269" s="83" t="s">
        <v>80</v>
      </c>
      <c r="C269" s="83">
        <v>30</v>
      </c>
    </row>
    <row r="270" spans="2:20" x14ac:dyDescent="0.25">
      <c r="L270" s="85" t="s">
        <v>75</v>
      </c>
      <c r="M270" s="85"/>
    </row>
    <row r="271" spans="2:20" ht="13.8" thickBot="1" x14ac:dyDescent="0.3">
      <c r="B271" t="s">
        <v>81</v>
      </c>
      <c r="L271" t="s">
        <v>76</v>
      </c>
      <c r="M271">
        <v>0.9710139010574268</v>
      </c>
    </row>
    <row r="272" spans="2:20" x14ac:dyDescent="0.25">
      <c r="B272" s="84"/>
      <c r="C272" s="84" t="s">
        <v>86</v>
      </c>
      <c r="D272" s="84" t="s">
        <v>87</v>
      </c>
      <c r="E272" s="84" t="s">
        <v>88</v>
      </c>
      <c r="F272" s="84" t="s">
        <v>89</v>
      </c>
      <c r="G272" s="84" t="s">
        <v>90</v>
      </c>
      <c r="L272" t="s">
        <v>77</v>
      </c>
      <c r="M272">
        <v>0.9428679960467623</v>
      </c>
    </row>
    <row r="273" spans="2:20" x14ac:dyDescent="0.25">
      <c r="B273" t="s">
        <v>82</v>
      </c>
      <c r="C273">
        <v>3</v>
      </c>
      <c r="D273">
        <v>23651.634119521856</v>
      </c>
      <c r="E273">
        <v>7883.8780398406188</v>
      </c>
      <c r="F273">
        <v>56.915395778118175</v>
      </c>
      <c r="G273">
        <v>1.4691954924062623E-11</v>
      </c>
      <c r="L273" t="s">
        <v>78</v>
      </c>
      <c r="M273">
        <v>0.91715859426780533</v>
      </c>
    </row>
    <row r="274" spans="2:20" x14ac:dyDescent="0.25">
      <c r="B274" t="s">
        <v>83</v>
      </c>
      <c r="C274">
        <v>26</v>
      </c>
      <c r="D274">
        <v>3601.5005471448112</v>
      </c>
      <c r="E274">
        <v>138.51925181326197</v>
      </c>
      <c r="K274">
        <v>0</v>
      </c>
      <c r="L274" t="s">
        <v>79</v>
      </c>
      <c r="M274">
        <v>8.8233389301163072</v>
      </c>
    </row>
    <row r="275" spans="2:20" ht="13.8" thickBot="1" x14ac:dyDescent="0.3">
      <c r="B275" s="83" t="s">
        <v>84</v>
      </c>
      <c r="C275" s="83">
        <v>29</v>
      </c>
      <c r="D275" s="83">
        <v>27253.134666666665</v>
      </c>
      <c r="E275" s="83"/>
      <c r="F275" s="83"/>
      <c r="G275" s="83"/>
      <c r="K275">
        <v>0</v>
      </c>
      <c r="L275" s="83" t="s">
        <v>80</v>
      </c>
      <c r="M275" s="83">
        <v>30</v>
      </c>
    </row>
    <row r="276" spans="2:20" ht="13.8" thickBot="1" x14ac:dyDescent="0.3">
      <c r="K276">
        <v>0</v>
      </c>
      <c r="L276">
        <v>0</v>
      </c>
    </row>
    <row r="277" spans="2:20" ht="13.8" thickBot="1" x14ac:dyDescent="0.3">
      <c r="B277" s="84"/>
      <c r="C277" s="84" t="s">
        <v>91</v>
      </c>
      <c r="D277" s="84" t="s">
        <v>79</v>
      </c>
      <c r="E277" s="84" t="s">
        <v>92</v>
      </c>
      <c r="F277" s="84" t="s">
        <v>93</v>
      </c>
      <c r="G277" s="84" t="s">
        <v>94</v>
      </c>
      <c r="H277" s="84" t="s">
        <v>95</v>
      </c>
      <c r="I277" s="84" t="s">
        <v>96</v>
      </c>
      <c r="J277" s="84" t="s">
        <v>97</v>
      </c>
      <c r="K277">
        <v>0</v>
      </c>
      <c r="L277" t="s">
        <v>81</v>
      </c>
    </row>
    <row r="278" spans="2:20" x14ac:dyDescent="0.25">
      <c r="B278" t="s">
        <v>85</v>
      </c>
      <c r="C278">
        <v>29.412411669584781</v>
      </c>
      <c r="D278">
        <v>9.4564947148964968</v>
      </c>
      <c r="E278">
        <v>3.1102869040102568</v>
      </c>
      <c r="F278">
        <v>4.4956223941076635E-3</v>
      </c>
      <c r="G278">
        <v>9.9743083967442878</v>
      </c>
      <c r="H278">
        <v>48.850514942425278</v>
      </c>
      <c r="I278">
        <v>9.9743083967442878</v>
      </c>
      <c r="J278">
        <v>48.850514942425278</v>
      </c>
      <c r="K278">
        <v>0</v>
      </c>
      <c r="L278" s="84">
        <v>0</v>
      </c>
      <c r="M278" s="84" t="s">
        <v>86</v>
      </c>
      <c r="N278" s="84" t="s">
        <v>87</v>
      </c>
      <c r="O278" s="84" t="s">
        <v>88</v>
      </c>
      <c r="P278" s="84" t="s">
        <v>89</v>
      </c>
      <c r="Q278" s="84" t="s">
        <v>90</v>
      </c>
    </row>
    <row r="279" spans="2:20" x14ac:dyDescent="0.25">
      <c r="B279" t="s">
        <v>98</v>
      </c>
      <c r="C279">
        <v>7.0885530535331718</v>
      </c>
      <c r="D279">
        <v>1.4047237093065974</v>
      </c>
      <c r="E279">
        <v>5.0462258211846072</v>
      </c>
      <c r="F279">
        <v>2.9747458336619012E-5</v>
      </c>
      <c r="G279">
        <v>4.2011021158938471</v>
      </c>
      <c r="H279">
        <v>9.9760039911724974</v>
      </c>
      <c r="I279">
        <v>4.2011021158938471</v>
      </c>
      <c r="J279">
        <v>9.9760039911724974</v>
      </c>
      <c r="K279">
        <v>0</v>
      </c>
      <c r="L279" t="s">
        <v>82</v>
      </c>
      <c r="M279">
        <v>9</v>
      </c>
      <c r="N279">
        <v>25696.108469152547</v>
      </c>
      <c r="O279">
        <v>2855.1231632391718</v>
      </c>
      <c r="P279">
        <v>36.674054268290902</v>
      </c>
      <c r="Q279">
        <v>1.6820186547607396E-10</v>
      </c>
    </row>
    <row r="280" spans="2:20" x14ac:dyDescent="0.25">
      <c r="B280" t="s">
        <v>99</v>
      </c>
      <c r="C280">
        <v>6.1133494171445966</v>
      </c>
      <c r="D280">
        <v>0.83732138782325627</v>
      </c>
      <c r="E280">
        <v>7.3010787805590089</v>
      </c>
      <c r="F280">
        <v>9.3962342021999697E-8</v>
      </c>
      <c r="G280">
        <v>4.3922106548685873</v>
      </c>
      <c r="H280">
        <v>7.8344881794206058</v>
      </c>
      <c r="I280">
        <v>4.3922106548685873</v>
      </c>
      <c r="J280">
        <v>7.8344881794206058</v>
      </c>
      <c r="K280">
        <v>0</v>
      </c>
      <c r="L280" t="s">
        <v>83</v>
      </c>
      <c r="M280">
        <v>20</v>
      </c>
      <c r="N280">
        <v>1557.0261975141193</v>
      </c>
      <c r="O280">
        <v>77.851309875705965</v>
      </c>
    </row>
    <row r="281" spans="2:20" ht="13.8" thickBot="1" x14ac:dyDescent="0.3">
      <c r="B281" s="83" t="s">
        <v>100</v>
      </c>
      <c r="C281" s="83">
        <v>-5.3702844528967955</v>
      </c>
      <c r="D281" s="83">
        <v>0.67767170262080534</v>
      </c>
      <c r="E281" s="83">
        <v>-7.9246107401680392</v>
      </c>
      <c r="F281" s="83">
        <v>2.1115891992302787E-8</v>
      </c>
      <c r="G281" s="83">
        <v>-6.7632585873690996</v>
      </c>
      <c r="H281" s="83">
        <v>-3.9773103184244913</v>
      </c>
      <c r="I281" s="83">
        <v>-6.7632585873690996</v>
      </c>
      <c r="J281" s="83">
        <v>-3.9773103184244913</v>
      </c>
      <c r="K281">
        <v>0</v>
      </c>
      <c r="L281" s="83" t="s">
        <v>84</v>
      </c>
      <c r="M281" s="83">
        <v>29</v>
      </c>
      <c r="N281" s="83">
        <v>27253.134666666665</v>
      </c>
      <c r="O281" s="83"/>
      <c r="P281" s="83"/>
      <c r="Q281" s="83"/>
    </row>
    <row r="282" spans="2:20" ht="13.8" thickBot="1" x14ac:dyDescent="0.3">
      <c r="K282">
        <v>0</v>
      </c>
      <c r="L282">
        <v>0</v>
      </c>
    </row>
    <row r="283" spans="2:20" x14ac:dyDescent="0.25">
      <c r="K283">
        <v>0</v>
      </c>
      <c r="L283" s="84">
        <v>0</v>
      </c>
      <c r="M283" s="84" t="s">
        <v>91</v>
      </c>
      <c r="N283" s="84" t="s">
        <v>79</v>
      </c>
      <c r="O283" s="84" t="s">
        <v>92</v>
      </c>
      <c r="P283" s="84" t="s">
        <v>93</v>
      </c>
      <c r="Q283" s="84" t="s">
        <v>94</v>
      </c>
      <c r="R283" s="84" t="s">
        <v>95</v>
      </c>
      <c r="S283" s="84" t="s">
        <v>96</v>
      </c>
      <c r="T283" s="84" t="s">
        <v>97</v>
      </c>
    </row>
    <row r="284" spans="2:20" x14ac:dyDescent="0.25">
      <c r="K284" s="56" t="s">
        <v>111</v>
      </c>
      <c r="L284" t="s">
        <v>85</v>
      </c>
      <c r="M284">
        <v>27.650912952367616</v>
      </c>
      <c r="N284">
        <v>27.225879538190345</v>
      </c>
      <c r="O284">
        <v>1.0156113749633346</v>
      </c>
      <c r="P284">
        <v>0.32194407995397045</v>
      </c>
      <c r="Q284">
        <v>-29.141276583961083</v>
      </c>
      <c r="R284">
        <v>84.443102488696312</v>
      </c>
      <c r="S284">
        <v>-29.141276583961083</v>
      </c>
      <c r="T284">
        <v>84.443102488696312</v>
      </c>
    </row>
    <row r="285" spans="2:20" x14ac:dyDescent="0.25">
      <c r="K285" s="56" t="s">
        <v>112</v>
      </c>
      <c r="L285" t="s">
        <v>98</v>
      </c>
      <c r="M285">
        <v>14.760054286788675</v>
      </c>
      <c r="N285">
        <v>8.5830624224391219</v>
      </c>
      <c r="O285">
        <v>1.7196722522022838</v>
      </c>
      <c r="P285">
        <v>0.10093086826701202</v>
      </c>
      <c r="Q285">
        <v>-3.1439001920205403</v>
      </c>
      <c r="R285">
        <v>32.664008765597892</v>
      </c>
      <c r="S285">
        <v>-3.1439001920205403</v>
      </c>
      <c r="T285">
        <v>32.664008765597892</v>
      </c>
    </row>
    <row r="286" spans="2:20" x14ac:dyDescent="0.25">
      <c r="K286" s="56" t="s">
        <v>113</v>
      </c>
      <c r="L286" t="s">
        <v>99</v>
      </c>
      <c r="M286">
        <v>14.674455813691116</v>
      </c>
      <c r="N286">
        <v>4.8662002392046073</v>
      </c>
      <c r="O286">
        <v>3.015588157566178</v>
      </c>
      <c r="P286">
        <v>6.8317767910958862E-3</v>
      </c>
      <c r="Q286">
        <v>4.5237399876338973</v>
      </c>
      <c r="R286">
        <v>24.825171639748334</v>
      </c>
      <c r="S286">
        <v>4.5237399876338973</v>
      </c>
      <c r="T286">
        <v>24.825171639748334</v>
      </c>
    </row>
    <row r="287" spans="2:20" x14ac:dyDescent="0.25">
      <c r="K287" s="56" t="s">
        <v>114</v>
      </c>
      <c r="L287" t="s">
        <v>100</v>
      </c>
      <c r="M287">
        <v>-16.387963840259754</v>
      </c>
      <c r="N287">
        <v>4.1993098882523867</v>
      </c>
      <c r="O287">
        <v>-3.9025373874181692</v>
      </c>
      <c r="P287">
        <v>8.8351723621806443E-4</v>
      </c>
      <c r="Q287">
        <v>-25.147570770896337</v>
      </c>
      <c r="R287">
        <v>-7.6283569096231716</v>
      </c>
      <c r="S287">
        <v>-25.147570770896337</v>
      </c>
      <c r="T287">
        <v>-7.6283569096231716</v>
      </c>
    </row>
    <row r="288" spans="2:20" x14ac:dyDescent="0.25">
      <c r="K288" s="56" t="s">
        <v>115</v>
      </c>
      <c r="L288" t="s">
        <v>101</v>
      </c>
      <c r="M288">
        <v>-1.168305565035348</v>
      </c>
      <c r="N288">
        <v>0.84950109533486151</v>
      </c>
      <c r="O288">
        <v>-1.3752843539004718</v>
      </c>
      <c r="P288">
        <v>0.18425381879311295</v>
      </c>
      <c r="Q288">
        <v>-2.9403337983161837</v>
      </c>
      <c r="R288">
        <v>0.6037226682454877</v>
      </c>
      <c r="S288">
        <v>-2.9403337983161837</v>
      </c>
      <c r="T288">
        <v>0.6037226682454877</v>
      </c>
    </row>
    <row r="289" spans="10:20" x14ac:dyDescent="0.25">
      <c r="K289" s="56" t="s">
        <v>116</v>
      </c>
      <c r="L289" t="s">
        <v>102</v>
      </c>
      <c r="M289">
        <v>5.0458751758874994E-2</v>
      </c>
      <c r="N289">
        <v>0.41888296377044626</v>
      </c>
      <c r="O289">
        <v>0.12046026246731556</v>
      </c>
      <c r="P289">
        <v>0.90532049773507917</v>
      </c>
      <c r="Q289">
        <v>-0.82331579934866739</v>
      </c>
      <c r="R289">
        <v>0.92423330286641747</v>
      </c>
      <c r="S289">
        <v>-0.82331579934866739</v>
      </c>
      <c r="T289">
        <v>0.92423330286641747</v>
      </c>
    </row>
    <row r="290" spans="10:20" x14ac:dyDescent="0.25">
      <c r="K290" s="56" t="s">
        <v>117</v>
      </c>
      <c r="L290" t="s">
        <v>103</v>
      </c>
      <c r="M290">
        <v>0.47199245492202735</v>
      </c>
      <c r="N290">
        <v>0.4352801175420199</v>
      </c>
      <c r="O290">
        <v>1.0843418660776838</v>
      </c>
      <c r="P290">
        <v>0.29111221932652487</v>
      </c>
      <c r="Q290">
        <v>-0.43598595959221531</v>
      </c>
      <c r="R290">
        <v>1.37997086943627</v>
      </c>
      <c r="S290">
        <v>-0.43598595959221531</v>
      </c>
      <c r="T290">
        <v>1.37997086943627</v>
      </c>
    </row>
    <row r="291" spans="10:20" x14ac:dyDescent="0.25">
      <c r="K291" s="56" t="s">
        <v>119</v>
      </c>
      <c r="L291" t="s">
        <v>104</v>
      </c>
      <c r="M291">
        <v>-1.0867310615199188</v>
      </c>
      <c r="N291">
        <v>0.35381518368009574</v>
      </c>
      <c r="O291">
        <v>-3.0714653063122741</v>
      </c>
      <c r="P291">
        <v>6.0218216526239585E-3</v>
      </c>
      <c r="Q291">
        <v>-1.8247766017642566</v>
      </c>
      <c r="R291">
        <v>-0.34868552127558117</v>
      </c>
      <c r="S291">
        <v>-1.8247766017642566</v>
      </c>
      <c r="T291">
        <v>-0.34868552127558117</v>
      </c>
    </row>
    <row r="292" spans="10:20" x14ac:dyDescent="0.25">
      <c r="K292" s="56" t="s">
        <v>120</v>
      </c>
      <c r="L292" t="s">
        <v>105</v>
      </c>
      <c r="M292">
        <v>0.54775808316395336</v>
      </c>
      <c r="N292">
        <v>0.19860234383432887</v>
      </c>
      <c r="O292">
        <v>2.7580645454057935</v>
      </c>
      <c r="P292">
        <v>1.2129121360081143E-2</v>
      </c>
      <c r="Q292">
        <v>0.13348085338421611</v>
      </c>
      <c r="R292">
        <v>0.9620353129436906</v>
      </c>
      <c r="S292">
        <v>0.13348085338421611</v>
      </c>
      <c r="T292">
        <v>0.9620353129436906</v>
      </c>
    </row>
    <row r="293" spans="10:20" ht="13.8" thickBot="1" x14ac:dyDescent="0.3">
      <c r="K293" s="56" t="s">
        <v>118</v>
      </c>
      <c r="L293" s="83" t="s">
        <v>106</v>
      </c>
      <c r="M293" s="83">
        <v>0.48312028244351707</v>
      </c>
      <c r="N293" s="83">
        <v>0.23669785788915698</v>
      </c>
      <c r="O293" s="83">
        <v>2.0410843036431578</v>
      </c>
      <c r="P293" s="83">
        <v>5.4660869813215843E-2</v>
      </c>
      <c r="Q293" s="83">
        <v>-1.0622797159394626E-2</v>
      </c>
      <c r="R293" s="83">
        <v>0.97686336204642876</v>
      </c>
      <c r="S293" s="83">
        <v>-1.0622797159394626E-2</v>
      </c>
      <c r="T293" s="83">
        <v>0.97686336204642876</v>
      </c>
    </row>
    <row r="295" spans="10:20" x14ac:dyDescent="0.25">
      <c r="L295" s="56">
        <f>M284 + M285*K296 + M286*K297 + M287 *K298 + M288 * (K296^2) + M289 * K296 * K297 +M290 * K296 * K298 + M291 * (K297^2) + M292 * K297 * K298 + M293 * (K298^2)</f>
        <v>6.7994740878067716</v>
      </c>
    </row>
    <row r="296" spans="10:20" x14ac:dyDescent="0.25">
      <c r="J296" s="56" t="s">
        <v>121</v>
      </c>
      <c r="K296">
        <v>7</v>
      </c>
    </row>
    <row r="297" spans="10:20" x14ac:dyDescent="0.25">
      <c r="J297" s="56" t="s">
        <v>122</v>
      </c>
      <c r="K297">
        <v>1</v>
      </c>
    </row>
    <row r="298" spans="10:20" x14ac:dyDescent="0.25">
      <c r="J298" s="56" t="s">
        <v>123</v>
      </c>
      <c r="K298">
        <v>12</v>
      </c>
    </row>
    <row r="300" spans="10:20" x14ac:dyDescent="0.25">
      <c r="J300" s="56" t="s">
        <v>65</v>
      </c>
      <c r="K300">
        <v>0</v>
      </c>
    </row>
    <row r="301" spans="10:20" x14ac:dyDescent="0.25">
      <c r="J301" s="56" t="s">
        <v>66</v>
      </c>
      <c r="K301">
        <v>0</v>
      </c>
    </row>
  </sheetData>
  <mergeCells count="5">
    <mergeCell ref="B207:G207"/>
    <mergeCell ref="B110:K110"/>
    <mergeCell ref="B140:J140"/>
    <mergeCell ref="B162:J162"/>
    <mergeCell ref="B184:J18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17</vt:i4>
      </vt:variant>
    </vt:vector>
  </HeadingPairs>
  <TitlesOfParts>
    <vt:vector size="21" baseType="lpstr">
      <vt:lpstr>Описание</vt:lpstr>
      <vt:lpstr>Модель СМО</vt:lpstr>
      <vt:lpstr>Анализ модели</vt:lpstr>
      <vt:lpstr>Диаграмма распределения</vt:lpstr>
      <vt:lpstr>ArriveRate</vt:lpstr>
      <vt:lpstr>AvgNumInQ</vt:lpstr>
      <vt:lpstr>AvgServerUtil</vt:lpstr>
      <vt:lpstr>AvgTimeInQ</vt:lpstr>
      <vt:lpstr>CloseTime</vt:lpstr>
      <vt:lpstr>FinalTime</vt:lpstr>
      <vt:lpstr>MaxAllowedInQ</vt:lpstr>
      <vt:lpstr>MaxNumInQ</vt:lpstr>
      <vt:lpstr>MaxTimeInQ</vt:lpstr>
      <vt:lpstr>MeanServeTime</vt:lpstr>
      <vt:lpstr>NumInQ</vt:lpstr>
      <vt:lpstr>NumLost</vt:lpstr>
      <vt:lpstr>NumServed</vt:lpstr>
      <vt:lpstr>NumServers</vt:lpstr>
      <vt:lpstr>PctLost</vt:lpstr>
      <vt:lpstr>PctOfTime</vt:lpstr>
      <vt:lpstr>TimeUnit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Денис Липов</cp:lastModifiedBy>
  <dcterms:created xsi:type="dcterms:W3CDTF">2000-07-29T00:46:31Z</dcterms:created>
  <dcterms:modified xsi:type="dcterms:W3CDTF">2023-10-09T10:59:31Z</dcterms:modified>
</cp:coreProperties>
</file>